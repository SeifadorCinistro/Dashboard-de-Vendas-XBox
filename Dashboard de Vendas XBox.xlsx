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enez\OneDrive\Documentos\Santander - Excel com IA Claude\Aceleração\Criando um Dashboard de Vendas do Xbox com Excel\"/>
    </mc:Choice>
  </mc:AlternateContent>
  <bookViews>
    <workbookView xWindow="0" yWindow="0" windowWidth="9384" windowHeight="6996" tabRatio="0" firstSheet="3" activeTab="3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52511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3" l="1"/>
  <c r="E24" i="3"/>
</calcChain>
</file>

<file path=xl/sharedStrings.xml><?xml version="1.0" encoding="utf-8"?>
<sst xmlns="http://schemas.openxmlformats.org/spreadsheetml/2006/main" count="2026" uniqueCount="328">
  <si>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</si>
  <si>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</si>
  <si>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</si>
  <si>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</si>
  <si>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</si>
  <si>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</si>
  <si>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</si>
  <si>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</si>
  <si>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</si>
  <si>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</si>
  <si>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</si>
  <si>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</si>
  <si>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</si>
  <si>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</si>
  <si>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</si>
  <si>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</si>
  <si>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</si>
  <si>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</si>
  <si>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</si>
  <si>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</si>
  <si>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</si>
  <si>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</si>
  <si>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</si>
  <si>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</si>
  <si>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</si>
  <si>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</si>
  <si>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</si>
  <si>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</si>
  <si>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</si>
  <si>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</si>
  <si>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</si>
  <si>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</si>
  <si>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</si>
  <si>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</si>
  <si>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</si>
  <si>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</si>
  <si>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</si>
  <si>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</si>
  <si>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</si>
  <si>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</si>
  <si>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</si>
  <si>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</si>
  <si>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</si>
  <si>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</si>
  <si>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</si>
  <si>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</si>
  <si>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</si>
  <si>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</si>
  <si>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</si>
  <si>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</si>
  <si>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</si>
  <si>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</si>
  <si>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</si>
  <si>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</si>
  <si>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</si>
  <si>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</si>
  <si>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</si>
  <si>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</si>
  <si>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</si>
  <si>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</si>
  <si>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</si>
  <si>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</si>
  <si>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</si>
  <si>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</si>
  <si>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</si>
  <si>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</si>
  <si>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</si>
  <si>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</si>
  <si>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</si>
  <si>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</si>
  <si>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</si>
  <si>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</si>
  <si>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</si>
  <si>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</si>
  <si>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</si>
  <si>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</si>
  <si>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</si>
  <si>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</si>
  <si>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</si>
  <si>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</si>
  <si>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</si>
  <si>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</si>
  <si>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</si>
  <si>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</si>
  <si>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</si>
  <si>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</si>
  <si>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</si>
  <si>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</si>
  <si>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</si>
  <si>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</si>
  <si>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</si>
  <si>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</si>
  <si>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</si>
  <si>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</si>
  <si>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</si>
  <si>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</si>
  <si>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</si>
  <si>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</si>
  <si>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</si>
  <si>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</si>
  <si>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</si>
  <si>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</si>
  <si>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</si>
  <si>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</si>
  <si>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</si>
  <si>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</si>
  <si>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</si>
  <si>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</si>
  <si>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</si>
  <si>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</si>
  <si>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</si>
  <si>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</si>
  <si>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</si>
  <si>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</si>
  <si>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</si>
  <si>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</si>
  <si>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</si>
  <si>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</si>
  <si>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</si>
  <si>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</si>
  <si>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</si>
  <si>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</si>
  <si>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</si>
  <si>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</si>
  <si>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</si>
  <si>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</si>
  <si>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</si>
  <si>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</si>
  <si>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</si>
  <si>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</si>
  <si>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</si>
  <si>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</si>
  <si>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</si>
  <si>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</si>
  <si>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</si>
  <si>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</si>
  <si>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</si>
  <si>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</si>
  <si>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</si>
  <si>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</si>
  <si>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</si>
  <si>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</si>
  <si>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</si>
  <si>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</si>
  <si>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</si>
  <si>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</si>
  <si>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</si>
  <si>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</si>
  <si>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</si>
  <si>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</si>
  <si>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</si>
  <si>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</si>
  <si>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</si>
  <si>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</si>
  <si>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</si>
  <si>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</si>
  <si>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</si>
  <si>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</si>
  <si>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</si>
  <si>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</si>
  <si>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</si>
  <si>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</si>
  <si>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</si>
  <si>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</si>
  <si>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</si>
  <si>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</si>
  <si>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</si>
  <si>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</si>
  <si>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</si>
  <si>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</si>
  <si>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</si>
  <si>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</si>
  <si>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</si>
  <si>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</si>
  <si>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</si>
  <si>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</si>
  <si>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</si>
  <si>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</si>
  <si>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</si>
  <si>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</si>
  <si>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</si>
  <si>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</si>
  <si>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</si>
  <si>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</si>
  <si>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</si>
  <si>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</si>
  <si>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</si>
  <si>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</si>
  <si>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</si>
  <si>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</si>
  <si>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</si>
  <si>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</si>
  <si>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</si>
  <si>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</si>
  <si>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</si>
  <si>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</si>
  <si>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</si>
  <si>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</si>
  <si>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</si>
  <si>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</si>
  <si>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</si>
  <si>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</si>
  <si>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</si>
  <si>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</si>
  <si>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</si>
  <si>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</si>
  <si>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</si>
  <si>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</si>
  <si>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</si>
  <si>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</si>
  <si>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</si>
  <si>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</si>
  <si>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</si>
  <si>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</si>
  <si>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</si>
  <si>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</si>
  <si>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</si>
  <si>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</si>
  <si>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</si>
  <si>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</si>
  <si>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</si>
  <si>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</si>
  <si>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</si>
  <si>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</si>
  <si>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</si>
  <si>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</si>
  <si>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</si>
  <si>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</si>
  <si>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</si>
  <si>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</si>
  <si>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</si>
  <si>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</si>
  <si>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</si>
  <si>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</si>
  <si>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</si>
  <si>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</si>
  <si>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</si>
  <si>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</si>
  <si>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</si>
  <si>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</si>
  <si>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</si>
  <si>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</si>
  <si>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</si>
  <si>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</si>
  <si>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</si>
  <si>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</si>
  <si>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</si>
  <si>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</si>
  <si>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</si>
  <si>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</si>
  <si>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</si>
  <si>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</si>
  <si>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</si>
  <si>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</si>
  <si>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</si>
  <si>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</si>
  <si>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</si>
  <si>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</si>
  <si>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</si>
  <si>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</si>
  <si>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</si>
  <si>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</si>
  <si>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</si>
  <si>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</si>
  <si>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</si>
  <si>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</si>
  <si>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</si>
  <si>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</si>
  <si>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</si>
  <si>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</si>
  <si>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</si>
  <si>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</si>
  <si>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</si>
  <si>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</si>
  <si>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</si>
  <si>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</si>
  <si>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</si>
  <si>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</si>
  <si>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</si>
  <si>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</si>
  <si>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</si>
  <si>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</si>
  <si>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</si>
  <si>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</si>
  <si>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</si>
  <si>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</si>
  <si>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</si>
  <si>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</si>
  <si>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</si>
  <si>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</si>
  <si>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</si>
  <si>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</si>
  <si>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</si>
  <si>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</si>
  <si>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</si>
  <si>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</si>
  <si>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</si>
  <si>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</si>
  <si>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</si>
  <si>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</si>
  <si>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</si>
  <si>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</si>
  <si>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</si>
  <si>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</si>
  <si>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</si>
  <si>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</si>
  <si>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</si>
  <si>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</si>
  <si>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</si>
  <si>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</si>
  <si>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</si>
  <si>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</si>
  <si>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</si>
  <si>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 de negócio 1</t>
  </si>
  <si>
    <t>Qual o faturamento total de vendas de planos anuais (contendo todas as assinaturas agregadas</t>
  </si>
  <si>
    <t>Rótulos de Linha</t>
  </si>
  <si>
    <t>Total Geral</t>
  </si>
  <si>
    <t>Soma de Total Value</t>
  </si>
  <si>
    <t>Pergunta de negócio 2</t>
  </si>
  <si>
    <t>Qual o faturamento total de vendas de planos anuais, separado popr auto renovação e não auto renovação</t>
  </si>
  <si>
    <t>XBOX GAME PASS SUBSCRIPTIONS SALES</t>
  </si>
  <si>
    <t>Pergunta de negócio 3</t>
  </si>
  <si>
    <t>Total de Vendas de Assinaturas do EA Play</t>
  </si>
  <si>
    <t>Soma de EA Play Season Pass</t>
  </si>
  <si>
    <t>1 e 2</t>
  </si>
  <si>
    <t>Pergunta de negócio 4</t>
  </si>
  <si>
    <t>Total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</si>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</sst>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4" formatCode="&quot;R$&quot;\ #,##0.00"/>
  </numFmts>
  <fonts count="5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AE6B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8" borderId="0" xfId="0" applyFill="1"/>
    <xf numFmtId="0" fontId="0" fillId="9" borderId="0" xfId="0" applyFill="1"/>
    <xf numFmtId="0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4" fillId="9" borderId="2" xfId="1" applyFont="1" applyFill="1" applyBorder="1" applyAlignment="1">
      <alignment horizontal="center"/>
    </xf>
  </cellXfs>
  <cellStyles count="3">
    <cellStyle name="Moeda" xfId="2" builtinId="4"/>
    <cellStyle name="Normal" xfId="0" builtinId="0"/>
    <cellStyle name="Título 1" xfId="1" builtinId="16"/>
  </cellStyles>
  <dxfs count="17"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3 2" pivot="0" table="0" count="10">
      <tableStyleElement type="wholeTable" dxfId="16"/>
      <tableStyleElement type="headerRow" dxfId="15"/>
    </tableStyle>
  </tableStyles>
  <colors>
    <mruColors>
      <color rgb="FF2AE6B1"/>
      <color rgb="FF22C55E"/>
      <color rgb="FF33CC33"/>
      <color rgb="FFE8E6E9"/>
      <color rgb="FF5BF6A8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[805d54f9-6d53-4246-bed7-4aa2da615923.xlsx]C̳álculos!Tabela dinâmica1</c:name>
    <c:fmtId val="3"/>
  </c:pivotSource>
  <c:chart>
    <c:autoTitleDeleted val="1"/>
    <c:pivotFmts>
      <c:pivotFmt>
        <c:idx val="0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33CC3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8.4684901002985591E-2"/>
          <c:y val="0.11272408839023054"/>
          <c:w val="0.59009924383072299"/>
          <c:h val="0.6669577364497398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33CC33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4292456"/>
        <c:axId val="224292848"/>
      </c:barChart>
      <c:catAx>
        <c:axId val="224292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4292848"/>
        <c:crosses val="autoZero"/>
        <c:auto val="1"/>
        <c:lblAlgn val="ctr"/>
        <c:lblOffset val="100"/>
        <c:noMultiLvlLbl val="0"/>
      </c:catAx>
      <c:valAx>
        <c:axId val="22429284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24292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12" Type="http://schemas.openxmlformats.org/officeDocument/2006/relationships/image" Target="../media/image4.png"/><Relationship Id="rId2" Type="http://schemas.openxmlformats.org/officeDocument/2006/relationships/image" Target="../media/image6.png"/><Relationship Id="rId1" Type="http://schemas.openxmlformats.org/officeDocument/2006/relationships/image" Target="../media/image2.png"/><Relationship Id="rId11" Type="http://schemas.openxmlformats.org/officeDocument/2006/relationships/chart" Target="../charts/chart1.xml"/><Relationship Id="rId10" Type="http://schemas.openxmlformats.org/officeDocument/2006/relationships/image" Target="../media/image10.sv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xmlns="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xmlns="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xmlns="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xmlns="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xmlns="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xmlns="" id="{A71E6AF1-ADEE-EB3B-0380-7B4EF5640C97}"/>
            </a:ext>
          </a:extLst>
        </xdr:cNvPr>
        <xdr:cNvGrpSpPr/>
      </xdr:nvGrpSpPr>
      <xdr:grpSpPr>
        <a:xfrm>
          <a:off x="1118235" y="5013959"/>
          <a:ext cx="1732356" cy="69151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xmlns="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xmlns="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10</xdr:row>
      <xdr:rowOff>0</xdr:rowOff>
    </xdr:from>
    <xdr:to>
      <xdr:col>11</xdr:col>
      <xdr:colOff>304800</xdr:colOff>
      <xdr:row>11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304800</xdr:colOff>
      <xdr:row>11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779271</xdr:colOff>
      <xdr:row>0</xdr:row>
      <xdr:rowOff>103937</xdr:rowOff>
    </xdr:from>
    <xdr:to>
      <xdr:col>0</xdr:col>
      <xdr:colOff>1712721</xdr:colOff>
      <xdr:row>6</xdr:row>
      <xdr:rowOff>7631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7A6E36A2-663A-A57A-27C3-3BDD1AF9B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521" r="72000" b="-6521"/>
        <a:stretch/>
      </xdr:blipFill>
      <xdr:spPr>
        <a:xfrm>
          <a:off x="779271" y="103937"/>
          <a:ext cx="933450" cy="1017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7</xdr:row>
      <xdr:rowOff>10006</xdr:rowOff>
    </xdr:from>
    <xdr:to>
      <xdr:col>1</xdr:col>
      <xdr:colOff>3343</xdr:colOff>
      <xdr:row>13</xdr:row>
      <xdr:rowOff>66988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42971"/>
              <a:ext cx="1832143" cy="11327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116048</xdr:colOff>
      <xdr:row>7</xdr:row>
      <xdr:rowOff>32904</xdr:rowOff>
    </xdr:from>
    <xdr:to>
      <xdr:col>8</xdr:col>
      <xdr:colOff>618466</xdr:colOff>
      <xdr:row>17</xdr:row>
      <xdr:rowOff>108856</xdr:rowOff>
    </xdr:to>
    <xdr:grpSp>
      <xdr:nvGrpSpPr>
        <xdr:cNvPr id="11" name="Grupo 10"/>
        <xdr:cNvGrpSpPr/>
      </xdr:nvGrpSpPr>
      <xdr:grpSpPr>
        <a:xfrm>
          <a:off x="1944848" y="1565869"/>
          <a:ext cx="4814442" cy="1868893"/>
          <a:chOff x="1959428" y="1029957"/>
          <a:chExt cx="4044462" cy="1842196"/>
        </a:xfrm>
      </xdr:grpSpPr>
      <xdr:sp macro="" textlink="">
        <xdr:nvSpPr>
          <xdr:cNvPr id="7" name="Retângulo de cantos arredondados 6"/>
          <xdr:cNvSpPr/>
        </xdr:nvSpPr>
        <xdr:spPr>
          <a:xfrm>
            <a:off x="1967803" y="1038330"/>
            <a:ext cx="4036087" cy="1833823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4">
        <xdr:nvSpPr>
          <xdr:cNvPr id="8" name="Retângulo de cantos arredondados 7"/>
          <xdr:cNvSpPr/>
        </xdr:nvSpPr>
        <xdr:spPr>
          <a:xfrm>
            <a:off x="2286000" y="1272791"/>
            <a:ext cx="3408065" cy="152400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fld id="{05E99992-9C1A-42BB-AD09-CFBDF9D5D716}" type="TxLink">
              <a:rPr lang="en-US" sz="3200" b="1" i="0" u="none" strike="noStrike">
                <a:solidFill>
                  <a:srgbClr val="33CC33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r"/>
              <a:t>R$ 600,00</a:t>
            </a:fld>
            <a:endParaRPr lang="pt-BR" sz="3200" b="1" i="0" u="none">
              <a:solidFill>
                <a:srgbClr val="33CC33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xmlns="" id="{34E653DD-5BBB-B7D9-BDBD-2F59393458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43650" y="1474721"/>
            <a:ext cx="1080197" cy="1120140"/>
          </a:xfrm>
          <a:prstGeom prst="rect">
            <a:avLst/>
          </a:prstGeom>
        </xdr:spPr>
      </xdr:pic>
      <xdr:sp macro="" textlink="">
        <xdr:nvSpPr>
          <xdr:cNvPr id="10" name="Arredondar Retângulo no Mesmo Canto Lateral 9"/>
          <xdr:cNvSpPr/>
        </xdr:nvSpPr>
        <xdr:spPr>
          <a:xfrm>
            <a:off x="1959428" y="1029957"/>
            <a:ext cx="4044462" cy="519164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/>
              <a:t>TOTAL SUBSCRIPTIONS EA SEASON PASS</a:t>
            </a:r>
          </a:p>
        </xdr:txBody>
      </xdr:sp>
    </xdr:grpSp>
    <xdr:clientData/>
  </xdr:twoCellAnchor>
  <xdr:twoCellAnchor editAs="absolute">
    <xdr:from>
      <xdr:col>9</xdr:col>
      <xdr:colOff>626840</xdr:colOff>
      <xdr:row>7</xdr:row>
      <xdr:rowOff>66398</xdr:rowOff>
    </xdr:from>
    <xdr:to>
      <xdr:col>16</xdr:col>
      <xdr:colOff>904844</xdr:colOff>
      <xdr:row>17</xdr:row>
      <xdr:rowOff>142350</xdr:rowOff>
    </xdr:to>
    <xdr:grpSp>
      <xdr:nvGrpSpPr>
        <xdr:cNvPr id="20" name="Grupo 19"/>
        <xdr:cNvGrpSpPr/>
      </xdr:nvGrpSpPr>
      <xdr:grpSpPr>
        <a:xfrm>
          <a:off x="7440016" y="1599363"/>
          <a:ext cx="4814146" cy="1868893"/>
          <a:chOff x="7435780" y="1063451"/>
          <a:chExt cx="4798088" cy="1842196"/>
        </a:xfrm>
      </xdr:grpSpPr>
      <xdr:grpSp>
        <xdr:nvGrpSpPr>
          <xdr:cNvPr id="12" name="Grupo 11"/>
          <xdr:cNvGrpSpPr/>
        </xdr:nvGrpSpPr>
        <xdr:grpSpPr>
          <a:xfrm>
            <a:off x="7435780" y="1063451"/>
            <a:ext cx="4798088" cy="1842196"/>
            <a:chOff x="1959428" y="1029957"/>
            <a:chExt cx="4044462" cy="1842196"/>
          </a:xfrm>
        </xdr:grpSpPr>
        <xdr:sp macro="" textlink="">
          <xdr:nvSpPr>
            <xdr:cNvPr id="13" name="Retângulo de cantos arredondados 12"/>
            <xdr:cNvSpPr/>
          </xdr:nvSpPr>
          <xdr:spPr>
            <a:xfrm>
              <a:off x="1967803" y="1038330"/>
              <a:ext cx="4036087" cy="1833823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3">
          <xdr:nvSpPr>
            <xdr:cNvPr id="14" name="Retângulo de cantos arredondados 13"/>
            <xdr:cNvSpPr/>
          </xdr:nvSpPr>
          <xdr:spPr>
            <a:xfrm>
              <a:off x="2286000" y="1272791"/>
              <a:ext cx="3408065" cy="152400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r"/>
              <a:fld id="{906D0634-01A5-43A3-8698-C48B6C5A1422}" type="TxLink">
                <a:rPr lang="en-US" sz="3600" b="1" i="0" u="none" strike="noStrike">
                  <a:solidFill>
                    <a:srgbClr val="33CC33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pPr algn="r"/>
                <a:t>R$ 940,00</a:t>
              </a:fld>
              <a:endParaRPr lang="pt-BR" sz="3600" b="1" i="0" u="none">
                <a:solidFill>
                  <a:srgbClr val="33CC33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6" name="Arredondar Retângulo no Mesmo Canto Lateral 15"/>
            <xdr:cNvSpPr/>
          </xdr:nvSpPr>
          <xdr:spPr>
            <a:xfrm>
              <a:off x="1959428" y="1029957"/>
              <a:ext cx="4044462" cy="519164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2AE6B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/>
                <a:t>TOTAL MINECRAFT</a:t>
              </a:r>
              <a:r>
                <a:rPr lang="pt-BR" sz="1400" b="1" baseline="0"/>
                <a:t> SEASON PASS</a:t>
              </a:r>
              <a:endParaRPr lang="pt-BR" sz="1400" b="1"/>
            </a:p>
          </xdr:txBody>
        </xdr: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xmlns="" id="{A71E6AF1-ADEE-EB3B-0380-7B4EF5640C97}"/>
              </a:ext>
            </a:extLst>
          </xdr:cNvPr>
          <xdr:cNvGrpSpPr/>
        </xdr:nvGrpSpPr>
        <xdr:grpSpPr>
          <a:xfrm>
            <a:off x="7619999" y="1750088"/>
            <a:ext cx="1297913" cy="468922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xmlns="" id="{B0CF571B-D3D1-7AD8-F100-6A3A279BE5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3">
              <a:extLst>
                <a:ext uri="{FF2B5EF4-FFF2-40B4-BE49-F238E27FC236}">
                  <a16:creationId xmlns:a16="http://schemas.microsoft.com/office/drawing/2014/main" xmlns="" id="{A1F40A76-E1BB-A23E-B668-9F79247AB09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xmlns="" r:embed="rId10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142353</xdr:colOff>
      <xdr:row>19</xdr:row>
      <xdr:rowOff>58613</xdr:rowOff>
    </xdr:from>
    <xdr:to>
      <xdr:col>17</xdr:col>
      <xdr:colOff>41868</xdr:colOff>
      <xdr:row>34</xdr:row>
      <xdr:rowOff>147951</xdr:rowOff>
    </xdr:to>
    <xdr:grpSp>
      <xdr:nvGrpSpPr>
        <xdr:cNvPr id="23" name="Grupo 22"/>
        <xdr:cNvGrpSpPr/>
      </xdr:nvGrpSpPr>
      <xdr:grpSpPr>
        <a:xfrm>
          <a:off x="1971153" y="3743107"/>
          <a:ext cx="10334433" cy="2778750"/>
          <a:chOff x="1967804" y="3701140"/>
          <a:chExt cx="10299559" cy="2727031"/>
        </a:xfrm>
      </xdr:grpSpPr>
      <xdr:grpSp>
        <xdr:nvGrpSpPr>
          <xdr:cNvPr id="6" name="Grupo 5"/>
          <xdr:cNvGrpSpPr/>
        </xdr:nvGrpSpPr>
        <xdr:grpSpPr>
          <a:xfrm>
            <a:off x="1973232" y="3701142"/>
            <a:ext cx="10294131" cy="2727029"/>
            <a:chOff x="1915747" y="1071823"/>
            <a:chExt cx="4805421" cy="2727029"/>
          </a:xfrm>
        </xdr:grpSpPr>
        <xdr:sp macro="" textlink="">
          <xdr:nvSpPr>
            <xdr:cNvPr id="5" name="Retângulo de cantos arredondados 4"/>
            <xdr:cNvSpPr/>
          </xdr:nvSpPr>
          <xdr:spPr>
            <a:xfrm>
              <a:off x="1915747" y="1071823"/>
              <a:ext cx="4805421" cy="2727029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/>
            <xdr:cNvGraphicFramePr>
              <a:graphicFrameLocks/>
            </xdr:cNvGraphicFramePr>
          </xdr:nvGraphicFramePr>
          <xdr:xfrm>
            <a:off x="1954991" y="1791955"/>
            <a:ext cx="4599814" cy="18271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</xdr:grpSp>
      <xdr:sp macro="" textlink="">
        <xdr:nvSpPr>
          <xdr:cNvPr id="21" name="Arredondar Retângulo no Mesmo Canto Lateral 20"/>
          <xdr:cNvSpPr/>
        </xdr:nvSpPr>
        <xdr:spPr>
          <a:xfrm>
            <a:off x="1967804" y="3701140"/>
            <a:ext cx="10291186" cy="611277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/>
              <a:t>TOTAL</a:t>
            </a:r>
            <a:r>
              <a:rPr lang="pt-BR" sz="1400" b="1" baseline="0"/>
              <a:t> SUBSCRIPTION GAME PASS</a:t>
            </a:r>
            <a:endParaRPr lang="pt-BR" sz="1400" b="1"/>
          </a:p>
        </xdr:txBody>
      </xdr:sp>
    </xdr:grpSp>
    <xdr:clientData/>
  </xdr:twoCellAnchor>
  <xdr:twoCellAnchor editAs="absolute">
    <xdr:from>
      <xdr:col>0</xdr:col>
      <xdr:colOff>83738</xdr:colOff>
      <xdr:row>1</xdr:row>
      <xdr:rowOff>58615</xdr:rowOff>
    </xdr:from>
    <xdr:to>
      <xdr:col>0</xdr:col>
      <xdr:colOff>728505</xdr:colOff>
      <xdr:row>3</xdr:row>
      <xdr:rowOff>8373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xmlns="" id="{77505866-F9E1-4D72-A197-04B674005FDF}"/>
            </a:ext>
          </a:extLst>
        </xdr:cNvPr>
        <xdr:cNvSpPr/>
      </xdr:nvSpPr>
      <xdr:spPr>
        <a:xfrm>
          <a:off x="83738" y="234461"/>
          <a:ext cx="644767" cy="544286"/>
        </a:xfrm>
        <a:prstGeom prst="ellipse">
          <a:avLst/>
        </a:prstGeom>
        <a:blipFill>
          <a:blip xmlns:r="http://schemas.openxmlformats.org/officeDocument/2006/relationships" r:embed="rId1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8965</xdr:colOff>
      <xdr:row>6</xdr:row>
      <xdr:rowOff>89647</xdr:rowOff>
    </xdr:from>
    <xdr:to>
      <xdr:col>0</xdr:col>
      <xdr:colOff>1801906</xdr:colOff>
      <xdr:row>7</xdr:row>
      <xdr:rowOff>8964</xdr:rowOff>
    </xdr:to>
    <xdr:sp macro="" textlink="">
      <xdr:nvSpPr>
        <xdr:cNvPr id="15" name="Retângulo 14"/>
        <xdr:cNvSpPr/>
      </xdr:nvSpPr>
      <xdr:spPr>
        <a:xfrm>
          <a:off x="8965" y="1201271"/>
          <a:ext cx="1792941" cy="340658"/>
        </a:xfrm>
        <a:prstGeom prst="rect">
          <a:avLst/>
        </a:prstGeom>
        <a:solidFill>
          <a:srgbClr val="2AE6B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Saudações!!!</a:t>
          </a:r>
        </a:p>
      </xdr:txBody>
    </xdr:sp>
    <xdr:clientData/>
  </xdr:twoCellAnchor>
  <xdr:twoCellAnchor>
    <xdr:from>
      <xdr:col>1</xdr:col>
      <xdr:colOff>170328</xdr:colOff>
      <xdr:row>4</xdr:row>
      <xdr:rowOff>0</xdr:rowOff>
    </xdr:from>
    <xdr:to>
      <xdr:col>5</xdr:col>
      <xdr:colOff>71716</xdr:colOff>
      <xdr:row>6</xdr:row>
      <xdr:rowOff>98611</xdr:rowOff>
    </xdr:to>
    <xdr:sp macro="" textlink="">
      <xdr:nvSpPr>
        <xdr:cNvPr id="25" name="Retângulo 24"/>
        <xdr:cNvSpPr/>
      </xdr:nvSpPr>
      <xdr:spPr>
        <a:xfrm>
          <a:off x="1999128" y="860612"/>
          <a:ext cx="2196353" cy="349623"/>
        </a:xfrm>
        <a:prstGeom prst="rect">
          <a:avLst/>
        </a:prstGeom>
        <a:solidFill>
          <a:srgbClr val="2AE6B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Atualizado em 29/09/2025</a:t>
          </a:r>
        </a:p>
      </xdr:txBody>
    </xdr:sp>
    <xdr:clientData/>
  </xdr:twoCellAnchor>
  <xdr:twoCellAnchor>
    <xdr:from>
      <xdr:col>1</xdr:col>
      <xdr:colOff>116542</xdr:colOff>
      <xdr:row>36</xdr:row>
      <xdr:rowOff>143435</xdr:rowOff>
    </xdr:from>
    <xdr:to>
      <xdr:col>6</xdr:col>
      <xdr:colOff>403411</xdr:colOff>
      <xdr:row>38</xdr:row>
      <xdr:rowOff>134470</xdr:rowOff>
    </xdr:to>
    <xdr:sp macro="" textlink="">
      <xdr:nvSpPr>
        <xdr:cNvPr id="26" name="Retângulo 25"/>
        <xdr:cNvSpPr/>
      </xdr:nvSpPr>
      <xdr:spPr>
        <a:xfrm>
          <a:off x="1945342" y="6875929"/>
          <a:ext cx="3254187" cy="349623"/>
        </a:xfrm>
        <a:prstGeom prst="rect">
          <a:avLst/>
        </a:prstGeom>
        <a:solidFill>
          <a:srgbClr val="2AE6B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Período</a:t>
          </a:r>
          <a:r>
            <a:rPr lang="pt-BR" sz="1100" b="1" baseline="0"/>
            <a:t>: 01/01/2024 a 31/12/2024</a:t>
          </a:r>
          <a:endParaRPr lang="pt-BR" sz="11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ão Lucas Menezes Borges" refreshedDate="46292.577555902775" createdVersion="5" refreshedVersion="5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x v="0"/>
    <x v="0"/>
    <d v="2024-01-01T00:00:00"/>
    <x v="0"/>
    <x v="0"/>
    <x v="0"/>
    <s v="Yes"/>
    <x v="0"/>
    <s v="Yes"/>
    <n v="20"/>
    <n v="5"/>
    <n v="60"/>
  </r>
  <r>
    <n v="3232"/>
    <x v="1"/>
    <x v="1"/>
    <d v="2024-01-15T00:00:00"/>
    <x v="1"/>
    <x v="1"/>
    <x v="1"/>
    <s v="No"/>
    <x v="1"/>
    <s v="No"/>
    <n v="0"/>
    <n v="0"/>
    <n v="5"/>
  </r>
  <r>
    <n v="3233"/>
    <x v="2"/>
    <x v="2"/>
    <d v="2024-02-10T00:00:00"/>
    <x v="0"/>
    <x v="2"/>
    <x v="2"/>
    <s v="No"/>
    <x v="1"/>
    <s v="Yes"/>
    <n v="20"/>
    <n v="10"/>
    <n v="20"/>
  </r>
  <r>
    <n v="3234"/>
    <x v="3"/>
    <x v="0"/>
    <d v="2024-02-20T00:00:00"/>
    <x v="1"/>
    <x v="0"/>
    <x v="0"/>
    <s v="Yes"/>
    <x v="0"/>
    <s v="Yes"/>
    <n v="20"/>
    <n v="3"/>
    <n v="62"/>
  </r>
  <r>
    <n v="3235"/>
    <x v="4"/>
    <x v="1"/>
    <d v="2024-03-05T00:00:00"/>
    <x v="0"/>
    <x v="1"/>
    <x v="0"/>
    <s v="No"/>
    <x v="1"/>
    <s v="No"/>
    <n v="0"/>
    <n v="1"/>
    <n v="4"/>
  </r>
  <r>
    <n v="3236"/>
    <x v="5"/>
    <x v="2"/>
    <d v="2024-03-02T00:00:00"/>
    <x v="1"/>
    <x v="2"/>
    <x v="0"/>
    <s v="No"/>
    <x v="1"/>
    <s v="Yes"/>
    <n v="20"/>
    <n v="2"/>
    <n v="28"/>
  </r>
  <r>
    <n v="3237"/>
    <x v="6"/>
    <x v="0"/>
    <d v="2024-03-03T00:00:00"/>
    <x v="0"/>
    <x v="0"/>
    <x v="2"/>
    <s v="Yes"/>
    <x v="0"/>
    <s v="Yes"/>
    <n v="20"/>
    <n v="10"/>
    <n v="55"/>
  </r>
  <r>
    <n v="3238"/>
    <x v="7"/>
    <x v="1"/>
    <d v="2024-03-04T00:00:00"/>
    <x v="0"/>
    <x v="1"/>
    <x v="1"/>
    <s v="No"/>
    <x v="1"/>
    <s v="No"/>
    <n v="0"/>
    <n v="0"/>
    <n v="5"/>
  </r>
  <r>
    <n v="3239"/>
    <x v="8"/>
    <x v="0"/>
    <d v="2024-03-05T00:00:00"/>
    <x v="1"/>
    <x v="0"/>
    <x v="0"/>
    <s v="Yes"/>
    <x v="0"/>
    <s v="Yes"/>
    <n v="20"/>
    <n v="5"/>
    <n v="60"/>
  </r>
  <r>
    <n v="3240"/>
    <x v="9"/>
    <x v="2"/>
    <d v="2024-03-06T00:00:00"/>
    <x v="0"/>
    <x v="2"/>
    <x v="2"/>
    <s v="No"/>
    <x v="1"/>
    <s v="Yes"/>
    <n v="20"/>
    <n v="15"/>
    <n v="15"/>
  </r>
  <r>
    <n v="3241"/>
    <x v="10"/>
    <x v="1"/>
    <d v="2024-03-07T00:00:00"/>
    <x v="1"/>
    <x v="1"/>
    <x v="0"/>
    <s v="No"/>
    <x v="1"/>
    <s v="No"/>
    <n v="0"/>
    <n v="1"/>
    <n v="4"/>
  </r>
  <r>
    <n v="3242"/>
    <x v="11"/>
    <x v="0"/>
    <d v="2024-03-08T00:00:00"/>
    <x v="0"/>
    <x v="0"/>
    <x v="1"/>
    <s v="Yes"/>
    <x v="0"/>
    <s v="Yes"/>
    <n v="20"/>
    <n v="20"/>
    <n v="45"/>
  </r>
  <r>
    <n v="3243"/>
    <x v="12"/>
    <x v="2"/>
    <d v="2024-03-09T00:00:00"/>
    <x v="1"/>
    <x v="2"/>
    <x v="0"/>
    <s v="No"/>
    <x v="1"/>
    <s v="Yes"/>
    <n v="20"/>
    <n v="10"/>
    <n v="20"/>
  </r>
  <r>
    <n v="3244"/>
    <x v="13"/>
    <x v="1"/>
    <d v="2024-03-10T00:00:00"/>
    <x v="0"/>
    <x v="1"/>
    <x v="2"/>
    <s v="No"/>
    <x v="1"/>
    <s v="No"/>
    <n v="0"/>
    <n v="0"/>
    <n v="5"/>
  </r>
  <r>
    <n v="3245"/>
    <x v="14"/>
    <x v="0"/>
    <d v="2024-03-11T00:00:00"/>
    <x v="1"/>
    <x v="0"/>
    <x v="0"/>
    <s v="Yes"/>
    <x v="0"/>
    <s v="Yes"/>
    <n v="20"/>
    <n v="8"/>
    <n v="57"/>
  </r>
  <r>
    <n v="3246"/>
    <x v="15"/>
    <x v="2"/>
    <d v="2024-03-12T00:00:00"/>
    <x v="0"/>
    <x v="2"/>
    <x v="1"/>
    <s v="No"/>
    <x v="1"/>
    <s v="Yes"/>
    <n v="20"/>
    <n v="12"/>
    <n v="18"/>
  </r>
  <r>
    <n v="3247"/>
    <x v="16"/>
    <x v="1"/>
    <d v="2024-03-13T00:00:00"/>
    <x v="1"/>
    <x v="1"/>
    <x v="0"/>
    <s v="No"/>
    <x v="1"/>
    <s v="No"/>
    <n v="0"/>
    <n v="2"/>
    <n v="3"/>
  </r>
  <r>
    <n v="3248"/>
    <x v="17"/>
    <x v="0"/>
    <d v="2024-03-14T00:00:00"/>
    <x v="0"/>
    <x v="0"/>
    <x v="2"/>
    <s v="Yes"/>
    <x v="0"/>
    <s v="Yes"/>
    <n v="20"/>
    <n v="7"/>
    <n v="58"/>
  </r>
  <r>
    <n v="3249"/>
    <x v="18"/>
    <x v="2"/>
    <d v="2024-03-15T00:00:00"/>
    <x v="1"/>
    <x v="2"/>
    <x v="0"/>
    <s v="No"/>
    <x v="1"/>
    <s v="Yes"/>
    <n v="20"/>
    <n v="5"/>
    <n v="25"/>
  </r>
  <r>
    <n v="3250"/>
    <x v="19"/>
    <x v="1"/>
    <d v="2024-03-16T00:00:00"/>
    <x v="0"/>
    <x v="1"/>
    <x v="1"/>
    <s v="No"/>
    <x v="1"/>
    <s v="No"/>
    <n v="0"/>
    <n v="0"/>
    <n v="5"/>
  </r>
  <r>
    <n v="3251"/>
    <x v="20"/>
    <x v="0"/>
    <d v="2024-03-17T00:00:00"/>
    <x v="1"/>
    <x v="0"/>
    <x v="0"/>
    <s v="Yes"/>
    <x v="0"/>
    <s v="Yes"/>
    <n v="20"/>
    <n v="3"/>
    <n v="62"/>
  </r>
  <r>
    <n v="3252"/>
    <x v="21"/>
    <x v="2"/>
    <d v="2024-03-18T00:00:00"/>
    <x v="0"/>
    <x v="2"/>
    <x v="2"/>
    <s v="No"/>
    <x v="1"/>
    <s v="Yes"/>
    <n v="20"/>
    <n v="15"/>
    <n v="15"/>
  </r>
  <r>
    <n v="3253"/>
    <x v="22"/>
    <x v="1"/>
    <d v="2024-03-19T00:00:00"/>
    <x v="1"/>
    <x v="1"/>
    <x v="0"/>
    <s v="No"/>
    <x v="1"/>
    <s v="No"/>
    <n v="0"/>
    <n v="1"/>
    <n v="4"/>
  </r>
  <r>
    <n v="3254"/>
    <x v="23"/>
    <x v="0"/>
    <d v="2024-03-20T00:00:00"/>
    <x v="0"/>
    <x v="0"/>
    <x v="1"/>
    <s v="Yes"/>
    <x v="0"/>
    <s v="Yes"/>
    <n v="20"/>
    <n v="20"/>
    <n v="45"/>
  </r>
  <r>
    <n v="3255"/>
    <x v="24"/>
    <x v="2"/>
    <d v="2024-03-21T00:00:00"/>
    <x v="1"/>
    <x v="2"/>
    <x v="0"/>
    <s v="No"/>
    <x v="1"/>
    <s v="Yes"/>
    <n v="20"/>
    <n v="10"/>
    <n v="20"/>
  </r>
  <r>
    <n v="3256"/>
    <x v="25"/>
    <x v="1"/>
    <d v="2024-03-22T00:00:00"/>
    <x v="0"/>
    <x v="1"/>
    <x v="2"/>
    <s v="No"/>
    <x v="1"/>
    <s v="No"/>
    <n v="0"/>
    <n v="0"/>
    <n v="5"/>
  </r>
  <r>
    <n v="3257"/>
    <x v="26"/>
    <x v="0"/>
    <d v="2024-03-23T00:00:00"/>
    <x v="1"/>
    <x v="0"/>
    <x v="0"/>
    <s v="Yes"/>
    <x v="0"/>
    <s v="Yes"/>
    <n v="20"/>
    <n v="5"/>
    <n v="60"/>
  </r>
  <r>
    <n v="3258"/>
    <x v="27"/>
    <x v="2"/>
    <d v="2024-03-24T00:00:00"/>
    <x v="0"/>
    <x v="2"/>
    <x v="1"/>
    <s v="No"/>
    <x v="1"/>
    <s v="Yes"/>
    <n v="20"/>
    <n v="15"/>
    <n v="15"/>
  </r>
  <r>
    <n v="3259"/>
    <x v="28"/>
    <x v="1"/>
    <d v="2024-03-25T00:00:00"/>
    <x v="1"/>
    <x v="1"/>
    <x v="0"/>
    <s v="No"/>
    <x v="1"/>
    <s v="No"/>
    <n v="0"/>
    <n v="1"/>
    <n v="4"/>
  </r>
  <r>
    <n v="3260"/>
    <x v="29"/>
    <x v="0"/>
    <d v="2024-03-26T00:00:00"/>
    <x v="0"/>
    <x v="0"/>
    <x v="2"/>
    <s v="Yes"/>
    <x v="0"/>
    <s v="Yes"/>
    <n v="20"/>
    <n v="7"/>
    <n v="58"/>
  </r>
  <r>
    <n v="3261"/>
    <x v="30"/>
    <x v="2"/>
    <d v="2024-03-27T00:00:00"/>
    <x v="1"/>
    <x v="2"/>
    <x v="0"/>
    <s v="No"/>
    <x v="1"/>
    <s v="Yes"/>
    <n v="20"/>
    <n v="10"/>
    <n v="20"/>
  </r>
  <r>
    <n v="3262"/>
    <x v="31"/>
    <x v="1"/>
    <d v="2024-03-28T00:00:00"/>
    <x v="0"/>
    <x v="1"/>
    <x v="1"/>
    <s v="No"/>
    <x v="1"/>
    <s v="No"/>
    <n v="0"/>
    <n v="0"/>
    <n v="5"/>
  </r>
  <r>
    <n v="3263"/>
    <x v="32"/>
    <x v="0"/>
    <d v="2024-03-29T00:00:00"/>
    <x v="1"/>
    <x v="0"/>
    <x v="0"/>
    <s v="Yes"/>
    <x v="0"/>
    <s v="Yes"/>
    <n v="20"/>
    <n v="3"/>
    <n v="62"/>
  </r>
  <r>
    <n v="3264"/>
    <x v="33"/>
    <x v="2"/>
    <d v="2024-03-30T00:00:00"/>
    <x v="0"/>
    <x v="2"/>
    <x v="2"/>
    <s v="No"/>
    <x v="1"/>
    <s v="Yes"/>
    <n v="20"/>
    <n v="15"/>
    <n v="15"/>
  </r>
  <r>
    <n v="3265"/>
    <x v="34"/>
    <x v="1"/>
    <d v="2024-03-31T00:00:00"/>
    <x v="1"/>
    <x v="1"/>
    <x v="0"/>
    <s v="No"/>
    <x v="1"/>
    <s v="No"/>
    <n v="0"/>
    <n v="1"/>
    <n v="4"/>
  </r>
  <r>
    <n v="3266"/>
    <x v="35"/>
    <x v="1"/>
    <d v="2024-04-01T00:00:00"/>
    <x v="0"/>
    <x v="1"/>
    <x v="0"/>
    <s v="No"/>
    <x v="1"/>
    <s v="No"/>
    <n v="0"/>
    <n v="0"/>
    <n v="5"/>
  </r>
  <r>
    <n v="3267"/>
    <x v="36"/>
    <x v="0"/>
    <d v="2024-04-02T00:00:00"/>
    <x v="1"/>
    <x v="0"/>
    <x v="2"/>
    <s v="Yes"/>
    <x v="0"/>
    <s v="Yes"/>
    <n v="20"/>
    <n v="7"/>
    <n v="58"/>
  </r>
  <r>
    <n v="3268"/>
    <x v="37"/>
    <x v="2"/>
    <d v="2024-04-03T00:00:00"/>
    <x v="0"/>
    <x v="2"/>
    <x v="1"/>
    <s v="No"/>
    <x v="1"/>
    <s v="Yes"/>
    <n v="20"/>
    <n v="10"/>
    <n v="20"/>
  </r>
  <r>
    <n v="3269"/>
    <x v="38"/>
    <x v="1"/>
    <d v="2024-04-04T00:00:00"/>
    <x v="1"/>
    <x v="1"/>
    <x v="2"/>
    <s v="No"/>
    <x v="1"/>
    <s v="No"/>
    <n v="0"/>
    <n v="1"/>
    <n v="4"/>
  </r>
  <r>
    <n v="3270"/>
    <x v="39"/>
    <x v="0"/>
    <d v="2024-04-05T00:00:00"/>
    <x v="0"/>
    <x v="0"/>
    <x v="0"/>
    <s v="Yes"/>
    <x v="0"/>
    <s v="Yes"/>
    <n v="20"/>
    <n v="15"/>
    <n v="50"/>
  </r>
  <r>
    <n v="3271"/>
    <x v="40"/>
    <x v="2"/>
    <d v="2024-04-06T00:00:00"/>
    <x v="1"/>
    <x v="2"/>
    <x v="0"/>
    <s v="No"/>
    <x v="1"/>
    <s v="Yes"/>
    <n v="20"/>
    <n v="5"/>
    <n v="25"/>
  </r>
  <r>
    <n v="3272"/>
    <x v="41"/>
    <x v="1"/>
    <d v="2024-04-07T00:00:00"/>
    <x v="0"/>
    <x v="1"/>
    <x v="1"/>
    <s v="No"/>
    <x v="1"/>
    <s v="No"/>
    <n v="0"/>
    <n v="0"/>
    <n v="5"/>
  </r>
  <r>
    <n v="3273"/>
    <x v="42"/>
    <x v="0"/>
    <d v="2024-04-08T00:00:00"/>
    <x v="1"/>
    <x v="0"/>
    <x v="2"/>
    <s v="Yes"/>
    <x v="0"/>
    <s v="Yes"/>
    <n v="20"/>
    <n v="20"/>
    <n v="45"/>
  </r>
  <r>
    <n v="3274"/>
    <x v="43"/>
    <x v="2"/>
    <d v="2024-04-09T00:00:00"/>
    <x v="0"/>
    <x v="2"/>
    <x v="2"/>
    <s v="No"/>
    <x v="1"/>
    <s v="Yes"/>
    <n v="20"/>
    <n v="12"/>
    <n v="18"/>
  </r>
  <r>
    <n v="3275"/>
    <x v="44"/>
    <x v="1"/>
    <d v="2024-04-10T00:00:00"/>
    <x v="1"/>
    <x v="1"/>
    <x v="0"/>
    <s v="No"/>
    <x v="1"/>
    <s v="No"/>
    <n v="0"/>
    <n v="2"/>
    <n v="3"/>
  </r>
  <r>
    <n v="3276"/>
    <x v="45"/>
    <x v="0"/>
    <d v="2024-04-11T00:00:00"/>
    <x v="0"/>
    <x v="0"/>
    <x v="1"/>
    <s v="Yes"/>
    <x v="0"/>
    <s v="Yes"/>
    <n v="20"/>
    <n v="5"/>
    <n v="60"/>
  </r>
  <r>
    <n v="3277"/>
    <x v="46"/>
    <x v="2"/>
    <d v="2024-04-12T00:00:00"/>
    <x v="1"/>
    <x v="2"/>
    <x v="0"/>
    <s v="No"/>
    <x v="1"/>
    <s v="Yes"/>
    <n v="20"/>
    <n v="10"/>
    <n v="20"/>
  </r>
  <r>
    <n v="3278"/>
    <x v="47"/>
    <x v="1"/>
    <d v="2024-04-13T00:00:00"/>
    <x v="0"/>
    <x v="1"/>
    <x v="2"/>
    <s v="No"/>
    <x v="1"/>
    <s v="No"/>
    <n v="0"/>
    <n v="0"/>
    <n v="5"/>
  </r>
  <r>
    <n v="3279"/>
    <x v="48"/>
    <x v="0"/>
    <d v="2024-04-14T00:00:00"/>
    <x v="1"/>
    <x v="0"/>
    <x v="0"/>
    <s v="Yes"/>
    <x v="0"/>
    <s v="Yes"/>
    <n v="20"/>
    <n v="3"/>
    <n v="62"/>
  </r>
  <r>
    <n v="3280"/>
    <x v="49"/>
    <x v="2"/>
    <d v="2024-04-15T00:00:00"/>
    <x v="0"/>
    <x v="2"/>
    <x v="1"/>
    <s v="No"/>
    <x v="1"/>
    <s v="Yes"/>
    <n v="20"/>
    <n v="15"/>
    <n v="15"/>
  </r>
  <r>
    <n v="3281"/>
    <x v="50"/>
    <x v="1"/>
    <d v="2024-04-16T00:00:00"/>
    <x v="1"/>
    <x v="1"/>
    <x v="0"/>
    <s v="No"/>
    <x v="1"/>
    <s v="No"/>
    <n v="0"/>
    <n v="1"/>
    <n v="4"/>
  </r>
  <r>
    <n v="3282"/>
    <x v="51"/>
    <x v="0"/>
    <d v="2024-04-17T00:00:00"/>
    <x v="0"/>
    <x v="0"/>
    <x v="2"/>
    <s v="Yes"/>
    <x v="0"/>
    <s v="Yes"/>
    <n v="20"/>
    <n v="7"/>
    <n v="58"/>
  </r>
  <r>
    <n v="3283"/>
    <x v="52"/>
    <x v="2"/>
    <d v="2024-04-18T00:00:00"/>
    <x v="1"/>
    <x v="2"/>
    <x v="0"/>
    <s v="No"/>
    <x v="1"/>
    <s v="Yes"/>
    <n v="20"/>
    <n v="10"/>
    <n v="20"/>
  </r>
  <r>
    <n v="3284"/>
    <x v="53"/>
    <x v="1"/>
    <d v="2024-04-19T00:00:00"/>
    <x v="0"/>
    <x v="1"/>
    <x v="1"/>
    <s v="No"/>
    <x v="1"/>
    <s v="No"/>
    <n v="0"/>
    <n v="0"/>
    <n v="5"/>
  </r>
  <r>
    <n v="3285"/>
    <x v="54"/>
    <x v="0"/>
    <d v="2024-04-20T00:00:00"/>
    <x v="1"/>
    <x v="0"/>
    <x v="0"/>
    <s v="Yes"/>
    <x v="0"/>
    <s v="Yes"/>
    <n v="20"/>
    <n v="20"/>
    <n v="45"/>
  </r>
  <r>
    <n v="3286"/>
    <x v="55"/>
    <x v="2"/>
    <d v="2024-04-21T00:00:00"/>
    <x v="0"/>
    <x v="2"/>
    <x v="2"/>
    <s v="No"/>
    <x v="1"/>
    <s v="Yes"/>
    <n v="20"/>
    <n v="15"/>
    <n v="15"/>
  </r>
  <r>
    <n v="3287"/>
    <x v="56"/>
    <x v="1"/>
    <d v="2024-04-22T00:00:00"/>
    <x v="1"/>
    <x v="1"/>
    <x v="0"/>
    <s v="No"/>
    <x v="1"/>
    <s v="No"/>
    <n v="0"/>
    <n v="1"/>
    <n v="4"/>
  </r>
  <r>
    <n v="3288"/>
    <x v="57"/>
    <x v="0"/>
    <d v="2024-04-23T00:00:00"/>
    <x v="0"/>
    <x v="0"/>
    <x v="1"/>
    <s v="Yes"/>
    <x v="0"/>
    <s v="Yes"/>
    <n v="20"/>
    <n v="3"/>
    <n v="62"/>
  </r>
  <r>
    <n v="3289"/>
    <x v="58"/>
    <x v="2"/>
    <d v="2024-04-24T00:00:00"/>
    <x v="1"/>
    <x v="2"/>
    <x v="0"/>
    <s v="No"/>
    <x v="1"/>
    <s v="Yes"/>
    <n v="20"/>
    <n v="10"/>
    <n v="20"/>
  </r>
  <r>
    <n v="3290"/>
    <x v="59"/>
    <x v="1"/>
    <d v="2024-04-25T00:00:00"/>
    <x v="0"/>
    <x v="1"/>
    <x v="2"/>
    <s v="No"/>
    <x v="1"/>
    <s v="No"/>
    <n v="0"/>
    <n v="0"/>
    <n v="5"/>
  </r>
  <r>
    <n v="3291"/>
    <x v="60"/>
    <x v="0"/>
    <d v="2024-04-26T00:00:00"/>
    <x v="1"/>
    <x v="0"/>
    <x v="0"/>
    <s v="Yes"/>
    <x v="0"/>
    <s v="Yes"/>
    <n v="20"/>
    <n v="5"/>
    <n v="60"/>
  </r>
  <r>
    <n v="3292"/>
    <x v="61"/>
    <x v="2"/>
    <d v="2024-04-27T00:00:00"/>
    <x v="0"/>
    <x v="2"/>
    <x v="1"/>
    <s v="No"/>
    <x v="1"/>
    <s v="Yes"/>
    <n v="20"/>
    <n v="15"/>
    <n v="15"/>
  </r>
  <r>
    <n v="3293"/>
    <x v="62"/>
    <x v="1"/>
    <d v="2024-04-28T00:00:00"/>
    <x v="1"/>
    <x v="1"/>
    <x v="0"/>
    <s v="No"/>
    <x v="1"/>
    <s v="No"/>
    <n v="0"/>
    <n v="1"/>
    <n v="4"/>
  </r>
  <r>
    <n v="3294"/>
    <x v="63"/>
    <x v="0"/>
    <d v="2024-04-29T00:00:00"/>
    <x v="0"/>
    <x v="0"/>
    <x v="2"/>
    <s v="Yes"/>
    <x v="0"/>
    <s v="Yes"/>
    <n v="20"/>
    <n v="20"/>
    <n v="45"/>
  </r>
  <r>
    <n v="3295"/>
    <x v="64"/>
    <x v="2"/>
    <d v="2024-04-30T00:00:00"/>
    <x v="1"/>
    <x v="2"/>
    <x v="0"/>
    <s v="No"/>
    <x v="1"/>
    <s v="Yes"/>
    <n v="20"/>
    <n v="5"/>
    <n v="25"/>
  </r>
  <r>
    <n v="3296"/>
    <x v="65"/>
    <x v="1"/>
    <d v="2024-05-01T00:00:00"/>
    <x v="1"/>
    <x v="1"/>
    <x v="0"/>
    <s v="No"/>
    <x v="1"/>
    <s v="No"/>
    <n v="0"/>
    <n v="0"/>
    <n v="5"/>
  </r>
  <r>
    <n v="3297"/>
    <x v="66"/>
    <x v="0"/>
    <d v="2024-05-02T00:00:00"/>
    <x v="0"/>
    <x v="0"/>
    <x v="2"/>
    <s v="Yes"/>
    <x v="0"/>
    <s v="Yes"/>
    <n v="20"/>
    <n v="7"/>
    <n v="58"/>
  </r>
  <r>
    <n v="3298"/>
    <x v="67"/>
    <x v="2"/>
    <d v="2024-05-03T00:00:00"/>
    <x v="1"/>
    <x v="2"/>
    <x v="1"/>
    <s v="No"/>
    <x v="1"/>
    <s v="Yes"/>
    <n v="20"/>
    <n v="10"/>
    <n v="20"/>
  </r>
  <r>
    <n v="3299"/>
    <x v="68"/>
    <x v="1"/>
    <d v="2024-05-04T00:00:00"/>
    <x v="0"/>
    <x v="1"/>
    <x v="2"/>
    <s v="No"/>
    <x v="1"/>
    <s v="No"/>
    <n v="0"/>
    <n v="1"/>
    <n v="4"/>
  </r>
  <r>
    <n v="3300"/>
    <x v="69"/>
    <x v="0"/>
    <d v="2024-05-05T00:00:00"/>
    <x v="1"/>
    <x v="0"/>
    <x v="0"/>
    <s v="Yes"/>
    <x v="0"/>
    <s v="Yes"/>
    <n v="20"/>
    <n v="15"/>
    <n v="50"/>
  </r>
  <r>
    <n v="3301"/>
    <x v="70"/>
    <x v="2"/>
    <d v="2024-05-06T00:00:00"/>
    <x v="0"/>
    <x v="2"/>
    <x v="0"/>
    <s v="No"/>
    <x v="1"/>
    <s v="Yes"/>
    <n v="20"/>
    <n v="5"/>
    <n v="25"/>
  </r>
  <r>
    <n v="3302"/>
    <x v="71"/>
    <x v="1"/>
    <d v="2024-05-07T00:00:00"/>
    <x v="1"/>
    <x v="1"/>
    <x v="1"/>
    <s v="No"/>
    <x v="1"/>
    <s v="No"/>
    <n v="0"/>
    <n v="0"/>
    <n v="5"/>
  </r>
  <r>
    <n v="3303"/>
    <x v="72"/>
    <x v="0"/>
    <d v="2024-05-08T00:00:00"/>
    <x v="0"/>
    <x v="0"/>
    <x v="2"/>
    <s v="Yes"/>
    <x v="0"/>
    <s v="Yes"/>
    <n v="20"/>
    <n v="20"/>
    <n v="45"/>
  </r>
  <r>
    <n v="3304"/>
    <x v="73"/>
    <x v="2"/>
    <d v="2024-05-09T00:00:00"/>
    <x v="1"/>
    <x v="2"/>
    <x v="2"/>
    <s v="No"/>
    <x v="1"/>
    <s v="Yes"/>
    <n v="20"/>
    <n v="12"/>
    <n v="18"/>
  </r>
  <r>
    <n v="3305"/>
    <x v="74"/>
    <x v="1"/>
    <d v="2024-05-10T00:00:00"/>
    <x v="0"/>
    <x v="1"/>
    <x v="0"/>
    <s v="No"/>
    <x v="1"/>
    <s v="No"/>
    <n v="0"/>
    <n v="2"/>
    <n v="3"/>
  </r>
  <r>
    <n v="3306"/>
    <x v="75"/>
    <x v="0"/>
    <d v="2024-05-11T00:00:00"/>
    <x v="1"/>
    <x v="0"/>
    <x v="1"/>
    <s v="Yes"/>
    <x v="0"/>
    <s v="Yes"/>
    <n v="20"/>
    <n v="5"/>
    <n v="60"/>
  </r>
  <r>
    <n v="3307"/>
    <x v="76"/>
    <x v="2"/>
    <d v="2024-05-12T00:00:00"/>
    <x v="0"/>
    <x v="2"/>
    <x v="0"/>
    <s v="No"/>
    <x v="1"/>
    <s v="Yes"/>
    <n v="20"/>
    <n v="10"/>
    <n v="20"/>
  </r>
  <r>
    <n v="3308"/>
    <x v="77"/>
    <x v="1"/>
    <d v="2024-05-13T00:00:00"/>
    <x v="1"/>
    <x v="1"/>
    <x v="2"/>
    <s v="No"/>
    <x v="1"/>
    <s v="No"/>
    <n v="0"/>
    <n v="0"/>
    <n v="5"/>
  </r>
  <r>
    <n v="3309"/>
    <x v="78"/>
    <x v="0"/>
    <d v="2024-05-14T00:00:00"/>
    <x v="0"/>
    <x v="0"/>
    <x v="0"/>
    <s v="Yes"/>
    <x v="0"/>
    <s v="Yes"/>
    <n v="20"/>
    <n v="3"/>
    <n v="62"/>
  </r>
  <r>
    <n v="3310"/>
    <x v="79"/>
    <x v="2"/>
    <d v="2024-05-15T00:00:00"/>
    <x v="1"/>
    <x v="2"/>
    <x v="1"/>
    <s v="No"/>
    <x v="1"/>
    <s v="Yes"/>
    <n v="20"/>
    <n v="15"/>
    <n v="15"/>
  </r>
  <r>
    <n v="3311"/>
    <x v="80"/>
    <x v="1"/>
    <d v="2024-05-16T00:00:00"/>
    <x v="0"/>
    <x v="1"/>
    <x v="0"/>
    <s v="No"/>
    <x v="1"/>
    <s v="No"/>
    <n v="0"/>
    <n v="1"/>
    <n v="4"/>
  </r>
  <r>
    <n v="3312"/>
    <x v="81"/>
    <x v="0"/>
    <d v="2024-05-17T00:00:00"/>
    <x v="1"/>
    <x v="0"/>
    <x v="2"/>
    <s v="Yes"/>
    <x v="0"/>
    <s v="Yes"/>
    <n v="20"/>
    <n v="7"/>
    <n v="58"/>
  </r>
  <r>
    <n v="3313"/>
    <x v="82"/>
    <x v="2"/>
    <d v="2024-05-18T00:00:00"/>
    <x v="0"/>
    <x v="2"/>
    <x v="0"/>
    <s v="No"/>
    <x v="1"/>
    <s v="Yes"/>
    <n v="20"/>
    <n v="10"/>
    <n v="20"/>
  </r>
  <r>
    <n v="3314"/>
    <x v="83"/>
    <x v="1"/>
    <d v="2024-05-19T00:00:00"/>
    <x v="1"/>
    <x v="1"/>
    <x v="1"/>
    <s v="No"/>
    <x v="1"/>
    <s v="No"/>
    <n v="0"/>
    <n v="0"/>
    <n v="5"/>
  </r>
  <r>
    <n v="3315"/>
    <x v="84"/>
    <x v="0"/>
    <d v="2024-05-20T00:00:00"/>
    <x v="0"/>
    <x v="0"/>
    <x v="0"/>
    <s v="Yes"/>
    <x v="0"/>
    <s v="Yes"/>
    <n v="20"/>
    <n v="20"/>
    <n v="45"/>
  </r>
  <r>
    <n v="3316"/>
    <x v="85"/>
    <x v="2"/>
    <d v="2024-05-21T00:00:00"/>
    <x v="1"/>
    <x v="2"/>
    <x v="2"/>
    <s v="No"/>
    <x v="1"/>
    <s v="Yes"/>
    <n v="20"/>
    <n v="15"/>
    <n v="15"/>
  </r>
  <r>
    <n v="3317"/>
    <x v="86"/>
    <x v="1"/>
    <d v="2024-05-22T00:00:00"/>
    <x v="0"/>
    <x v="1"/>
    <x v="0"/>
    <s v="No"/>
    <x v="1"/>
    <s v="No"/>
    <n v="0"/>
    <n v="1"/>
    <n v="4"/>
  </r>
  <r>
    <n v="3318"/>
    <x v="87"/>
    <x v="0"/>
    <d v="2024-05-23T00:00:00"/>
    <x v="1"/>
    <x v="0"/>
    <x v="1"/>
    <s v="Yes"/>
    <x v="0"/>
    <s v="Yes"/>
    <n v="20"/>
    <n v="3"/>
    <n v="62"/>
  </r>
  <r>
    <n v="3319"/>
    <x v="88"/>
    <x v="2"/>
    <d v="2024-05-24T00:00:00"/>
    <x v="0"/>
    <x v="2"/>
    <x v="0"/>
    <s v="No"/>
    <x v="1"/>
    <s v="Yes"/>
    <n v="20"/>
    <n v="10"/>
    <n v="20"/>
  </r>
  <r>
    <n v="3320"/>
    <x v="89"/>
    <x v="1"/>
    <d v="2024-05-25T00:00:00"/>
    <x v="1"/>
    <x v="1"/>
    <x v="2"/>
    <s v="No"/>
    <x v="1"/>
    <s v="No"/>
    <n v="0"/>
    <n v="0"/>
    <n v="5"/>
  </r>
  <r>
    <n v="3321"/>
    <x v="90"/>
    <x v="0"/>
    <d v="2024-05-26T00:00:00"/>
    <x v="0"/>
    <x v="0"/>
    <x v="0"/>
    <s v="Yes"/>
    <x v="0"/>
    <s v="Yes"/>
    <n v="20"/>
    <n v="5"/>
    <n v="60"/>
  </r>
  <r>
    <n v="3322"/>
    <x v="91"/>
    <x v="2"/>
    <d v="2024-05-27T00:00:00"/>
    <x v="1"/>
    <x v="2"/>
    <x v="1"/>
    <s v="No"/>
    <x v="1"/>
    <s v="Yes"/>
    <n v="20"/>
    <n v="15"/>
    <n v="15"/>
  </r>
  <r>
    <n v="3323"/>
    <x v="92"/>
    <x v="1"/>
    <d v="2024-05-28T00:00:00"/>
    <x v="0"/>
    <x v="1"/>
    <x v="0"/>
    <s v="No"/>
    <x v="1"/>
    <s v="No"/>
    <n v="0"/>
    <n v="1"/>
    <n v="4"/>
  </r>
  <r>
    <n v="3324"/>
    <x v="93"/>
    <x v="0"/>
    <d v="2024-05-29T00:00:00"/>
    <x v="1"/>
    <x v="0"/>
    <x v="2"/>
    <s v="Yes"/>
    <x v="0"/>
    <s v="Yes"/>
    <n v="20"/>
    <n v="20"/>
    <n v="45"/>
  </r>
  <r>
    <n v="3325"/>
    <x v="94"/>
    <x v="2"/>
    <d v="2024-05-30T00:00:00"/>
    <x v="0"/>
    <x v="2"/>
    <x v="2"/>
    <s v="No"/>
    <x v="1"/>
    <s v="Yes"/>
    <n v="20"/>
    <n v="15"/>
    <n v="15"/>
  </r>
  <r>
    <n v="3326"/>
    <x v="95"/>
    <x v="1"/>
    <d v="2024-05-31T00:00:00"/>
    <x v="1"/>
    <x v="1"/>
    <x v="1"/>
    <s v="No"/>
    <x v="1"/>
    <s v="No"/>
    <n v="0"/>
    <n v="0"/>
    <n v="5"/>
  </r>
  <r>
    <n v="3327"/>
    <x v="96"/>
    <x v="0"/>
    <d v="2024-06-01T00:00:00"/>
    <x v="0"/>
    <x v="0"/>
    <x v="0"/>
    <s v="Yes"/>
    <x v="0"/>
    <s v="Yes"/>
    <n v="20"/>
    <n v="7"/>
    <n v="58"/>
  </r>
  <r>
    <n v="3328"/>
    <x v="97"/>
    <x v="2"/>
    <d v="2024-06-02T00:00:00"/>
    <x v="1"/>
    <x v="2"/>
    <x v="1"/>
    <s v="No"/>
    <x v="1"/>
    <s v="Yes"/>
    <n v="20"/>
    <n v="10"/>
    <n v="20"/>
  </r>
  <r>
    <n v="3329"/>
    <x v="98"/>
    <x v="1"/>
    <d v="2024-06-03T00:00:00"/>
    <x v="0"/>
    <x v="1"/>
    <x v="2"/>
    <s v="No"/>
    <x v="1"/>
    <s v="No"/>
    <n v="0"/>
    <n v="1"/>
    <n v="4"/>
  </r>
  <r>
    <n v="3330"/>
    <x v="99"/>
    <x v="0"/>
    <d v="2024-06-04T00:00:00"/>
    <x v="1"/>
    <x v="0"/>
    <x v="0"/>
    <s v="Yes"/>
    <x v="0"/>
    <s v="Yes"/>
    <n v="20"/>
    <n v="15"/>
    <n v="50"/>
  </r>
  <r>
    <n v="3331"/>
    <x v="100"/>
    <x v="2"/>
    <d v="2024-06-05T00:00:00"/>
    <x v="0"/>
    <x v="2"/>
    <x v="0"/>
    <s v="No"/>
    <x v="1"/>
    <s v="Yes"/>
    <n v="20"/>
    <n v="5"/>
    <n v="25"/>
  </r>
  <r>
    <n v="3332"/>
    <x v="101"/>
    <x v="1"/>
    <d v="2024-06-06T00:00:00"/>
    <x v="1"/>
    <x v="1"/>
    <x v="1"/>
    <s v="No"/>
    <x v="1"/>
    <s v="No"/>
    <n v="0"/>
    <n v="0"/>
    <n v="5"/>
  </r>
  <r>
    <n v="3333"/>
    <x v="102"/>
    <x v="0"/>
    <d v="2024-06-07T00:00:00"/>
    <x v="0"/>
    <x v="0"/>
    <x v="2"/>
    <s v="Yes"/>
    <x v="0"/>
    <s v="Yes"/>
    <n v="20"/>
    <n v="20"/>
    <n v="45"/>
  </r>
  <r>
    <n v="3334"/>
    <x v="103"/>
    <x v="2"/>
    <d v="2024-06-08T00:00:00"/>
    <x v="1"/>
    <x v="2"/>
    <x v="2"/>
    <s v="No"/>
    <x v="1"/>
    <s v="Yes"/>
    <n v="20"/>
    <n v="12"/>
    <n v="18"/>
  </r>
  <r>
    <n v="3335"/>
    <x v="104"/>
    <x v="1"/>
    <d v="2024-06-09T00:00:00"/>
    <x v="0"/>
    <x v="1"/>
    <x v="0"/>
    <s v="No"/>
    <x v="1"/>
    <s v="No"/>
    <n v="0"/>
    <n v="2"/>
    <n v="3"/>
  </r>
  <r>
    <n v="3336"/>
    <x v="105"/>
    <x v="1"/>
    <d v="2024-06-10T00:00:00"/>
    <x v="0"/>
    <x v="1"/>
    <x v="0"/>
    <s v="No"/>
    <x v="1"/>
    <s v="No"/>
    <n v="0"/>
    <n v="0"/>
    <n v="5"/>
  </r>
  <r>
    <n v="3337"/>
    <x v="106"/>
    <x v="0"/>
    <d v="2024-06-11T00:00:00"/>
    <x v="1"/>
    <x v="0"/>
    <x v="2"/>
    <s v="Yes"/>
    <x v="0"/>
    <s v="Yes"/>
    <n v="20"/>
    <n v="7"/>
    <n v="58"/>
  </r>
  <r>
    <n v="3338"/>
    <x v="107"/>
    <x v="2"/>
    <d v="2024-06-12T00:00:00"/>
    <x v="0"/>
    <x v="2"/>
    <x v="1"/>
    <s v="No"/>
    <x v="1"/>
    <s v="Yes"/>
    <n v="20"/>
    <n v="10"/>
    <n v="20"/>
  </r>
  <r>
    <n v="3339"/>
    <x v="108"/>
    <x v="1"/>
    <d v="2024-06-13T00:00:00"/>
    <x v="1"/>
    <x v="1"/>
    <x v="2"/>
    <s v="No"/>
    <x v="1"/>
    <s v="No"/>
    <n v="0"/>
    <n v="1"/>
    <n v="4"/>
  </r>
  <r>
    <n v="3340"/>
    <x v="109"/>
    <x v="0"/>
    <d v="2024-06-14T00:00:00"/>
    <x v="0"/>
    <x v="0"/>
    <x v="0"/>
    <s v="Yes"/>
    <x v="0"/>
    <s v="Yes"/>
    <n v="20"/>
    <n v="15"/>
    <n v="50"/>
  </r>
  <r>
    <n v="3341"/>
    <x v="110"/>
    <x v="2"/>
    <d v="2024-06-15T00:00:00"/>
    <x v="1"/>
    <x v="2"/>
    <x v="0"/>
    <s v="No"/>
    <x v="1"/>
    <s v="Yes"/>
    <n v="20"/>
    <n v="5"/>
    <n v="25"/>
  </r>
  <r>
    <n v="3342"/>
    <x v="111"/>
    <x v="1"/>
    <d v="2024-06-16T00:00:00"/>
    <x v="0"/>
    <x v="1"/>
    <x v="1"/>
    <s v="No"/>
    <x v="1"/>
    <s v="No"/>
    <n v="0"/>
    <n v="0"/>
    <n v="5"/>
  </r>
  <r>
    <n v="3343"/>
    <x v="112"/>
    <x v="0"/>
    <d v="2024-06-17T00:00:00"/>
    <x v="1"/>
    <x v="0"/>
    <x v="2"/>
    <s v="Yes"/>
    <x v="0"/>
    <s v="Yes"/>
    <n v="20"/>
    <n v="20"/>
    <n v="45"/>
  </r>
  <r>
    <n v="3344"/>
    <x v="113"/>
    <x v="2"/>
    <d v="2024-06-18T00:00:00"/>
    <x v="0"/>
    <x v="2"/>
    <x v="2"/>
    <s v="No"/>
    <x v="1"/>
    <s v="Yes"/>
    <n v="20"/>
    <n v="12"/>
    <n v="18"/>
  </r>
  <r>
    <n v="3345"/>
    <x v="114"/>
    <x v="1"/>
    <d v="2024-06-19T00:00:00"/>
    <x v="1"/>
    <x v="1"/>
    <x v="0"/>
    <s v="No"/>
    <x v="1"/>
    <s v="No"/>
    <n v="0"/>
    <n v="2"/>
    <n v="3"/>
  </r>
  <r>
    <n v="3346"/>
    <x v="115"/>
    <x v="0"/>
    <d v="2024-06-20T00:00:00"/>
    <x v="0"/>
    <x v="0"/>
    <x v="1"/>
    <s v="Yes"/>
    <x v="0"/>
    <s v="Yes"/>
    <n v="20"/>
    <n v="5"/>
    <n v="60"/>
  </r>
  <r>
    <n v="3347"/>
    <x v="116"/>
    <x v="2"/>
    <d v="2024-06-21T00:00:00"/>
    <x v="1"/>
    <x v="2"/>
    <x v="0"/>
    <s v="No"/>
    <x v="1"/>
    <s v="Yes"/>
    <n v="20"/>
    <n v="10"/>
    <n v="20"/>
  </r>
  <r>
    <n v="3348"/>
    <x v="117"/>
    <x v="1"/>
    <d v="2024-06-22T00:00:00"/>
    <x v="0"/>
    <x v="1"/>
    <x v="2"/>
    <s v="No"/>
    <x v="1"/>
    <s v="No"/>
    <n v="0"/>
    <n v="0"/>
    <n v="5"/>
  </r>
  <r>
    <n v="3349"/>
    <x v="93"/>
    <x v="0"/>
    <d v="2024-06-23T00:00:00"/>
    <x v="1"/>
    <x v="0"/>
    <x v="0"/>
    <s v="Yes"/>
    <x v="0"/>
    <s v="Yes"/>
    <n v="20"/>
    <n v="3"/>
    <n v="62"/>
  </r>
  <r>
    <n v="3350"/>
    <x v="118"/>
    <x v="2"/>
    <d v="2024-06-24T00:00:00"/>
    <x v="0"/>
    <x v="2"/>
    <x v="1"/>
    <s v="No"/>
    <x v="1"/>
    <s v="Yes"/>
    <n v="20"/>
    <n v="15"/>
    <n v="15"/>
  </r>
  <r>
    <n v="3351"/>
    <x v="119"/>
    <x v="1"/>
    <d v="2024-06-25T00:00:00"/>
    <x v="1"/>
    <x v="1"/>
    <x v="0"/>
    <s v="No"/>
    <x v="1"/>
    <s v="No"/>
    <n v="0"/>
    <n v="1"/>
    <n v="4"/>
  </r>
  <r>
    <n v="3352"/>
    <x v="120"/>
    <x v="0"/>
    <d v="2024-06-26T00:00:00"/>
    <x v="0"/>
    <x v="0"/>
    <x v="2"/>
    <s v="Yes"/>
    <x v="0"/>
    <s v="Yes"/>
    <n v="20"/>
    <n v="7"/>
    <n v="58"/>
  </r>
  <r>
    <n v="3353"/>
    <x v="121"/>
    <x v="2"/>
    <d v="2024-06-27T00:00:00"/>
    <x v="1"/>
    <x v="2"/>
    <x v="0"/>
    <s v="No"/>
    <x v="1"/>
    <s v="Yes"/>
    <n v="20"/>
    <n v="10"/>
    <n v="20"/>
  </r>
  <r>
    <n v="3354"/>
    <x v="122"/>
    <x v="1"/>
    <d v="2024-06-28T00:00:00"/>
    <x v="0"/>
    <x v="1"/>
    <x v="1"/>
    <s v="No"/>
    <x v="1"/>
    <s v="No"/>
    <n v="0"/>
    <n v="0"/>
    <n v="5"/>
  </r>
  <r>
    <n v="3355"/>
    <x v="123"/>
    <x v="0"/>
    <d v="2024-06-29T00:00:00"/>
    <x v="1"/>
    <x v="0"/>
    <x v="0"/>
    <s v="Yes"/>
    <x v="0"/>
    <s v="Yes"/>
    <n v="20"/>
    <n v="20"/>
    <n v="45"/>
  </r>
  <r>
    <n v="3356"/>
    <x v="124"/>
    <x v="2"/>
    <d v="2024-06-30T00:00:00"/>
    <x v="0"/>
    <x v="2"/>
    <x v="2"/>
    <s v="No"/>
    <x v="1"/>
    <s v="Yes"/>
    <n v="20"/>
    <n v="15"/>
    <n v="15"/>
  </r>
  <r>
    <n v="3357"/>
    <x v="125"/>
    <x v="1"/>
    <d v="2024-07-01T00:00:00"/>
    <x v="1"/>
    <x v="1"/>
    <x v="0"/>
    <s v="No"/>
    <x v="1"/>
    <s v="No"/>
    <n v="0"/>
    <n v="1"/>
    <n v="4"/>
  </r>
  <r>
    <n v="3358"/>
    <x v="126"/>
    <x v="0"/>
    <d v="2024-07-02T00:00:00"/>
    <x v="0"/>
    <x v="0"/>
    <x v="1"/>
    <s v="Yes"/>
    <x v="0"/>
    <s v="Yes"/>
    <n v="20"/>
    <n v="3"/>
    <n v="62"/>
  </r>
  <r>
    <n v="3359"/>
    <x v="127"/>
    <x v="2"/>
    <d v="2024-07-03T00:00:00"/>
    <x v="1"/>
    <x v="2"/>
    <x v="0"/>
    <s v="No"/>
    <x v="1"/>
    <s v="Yes"/>
    <n v="20"/>
    <n v="10"/>
    <n v="20"/>
  </r>
  <r>
    <n v="3360"/>
    <x v="128"/>
    <x v="1"/>
    <d v="2024-07-04T00:00:00"/>
    <x v="0"/>
    <x v="1"/>
    <x v="2"/>
    <s v="No"/>
    <x v="1"/>
    <s v="No"/>
    <n v="0"/>
    <n v="0"/>
    <n v="5"/>
  </r>
  <r>
    <n v="3361"/>
    <x v="129"/>
    <x v="0"/>
    <d v="2024-07-05T00:00:00"/>
    <x v="1"/>
    <x v="0"/>
    <x v="0"/>
    <s v="Yes"/>
    <x v="0"/>
    <s v="Yes"/>
    <n v="20"/>
    <n v="15"/>
    <n v="50"/>
  </r>
  <r>
    <n v="3362"/>
    <x v="130"/>
    <x v="2"/>
    <d v="2024-07-06T00:00:00"/>
    <x v="0"/>
    <x v="2"/>
    <x v="1"/>
    <s v="No"/>
    <x v="1"/>
    <s v="Yes"/>
    <n v="20"/>
    <n v="15"/>
    <n v="15"/>
  </r>
  <r>
    <n v="3363"/>
    <x v="131"/>
    <x v="1"/>
    <d v="2024-07-07T00:00:00"/>
    <x v="1"/>
    <x v="1"/>
    <x v="0"/>
    <s v="No"/>
    <x v="1"/>
    <s v="No"/>
    <n v="0"/>
    <n v="1"/>
    <n v="4"/>
  </r>
  <r>
    <n v="3364"/>
    <x v="132"/>
    <x v="0"/>
    <d v="2024-07-08T00:00:00"/>
    <x v="0"/>
    <x v="0"/>
    <x v="2"/>
    <s v="Yes"/>
    <x v="0"/>
    <s v="Yes"/>
    <n v="20"/>
    <n v="7"/>
    <n v="58"/>
  </r>
  <r>
    <n v="3365"/>
    <x v="133"/>
    <x v="2"/>
    <d v="2024-07-09T00:00:00"/>
    <x v="1"/>
    <x v="2"/>
    <x v="0"/>
    <s v="No"/>
    <x v="1"/>
    <s v="Yes"/>
    <n v="20"/>
    <n v="10"/>
    <n v="20"/>
  </r>
  <r>
    <n v="3366"/>
    <x v="134"/>
    <x v="1"/>
    <d v="2024-07-10T00:00:00"/>
    <x v="0"/>
    <x v="1"/>
    <x v="0"/>
    <s v="No"/>
    <x v="1"/>
    <s v="No"/>
    <n v="0"/>
    <n v="0"/>
    <n v="5"/>
  </r>
  <r>
    <n v="3367"/>
    <x v="135"/>
    <x v="0"/>
    <d v="2024-07-11T00:00:00"/>
    <x v="1"/>
    <x v="0"/>
    <x v="2"/>
    <s v="Yes"/>
    <x v="0"/>
    <s v="Yes"/>
    <n v="20"/>
    <n v="7"/>
    <n v="58"/>
  </r>
  <r>
    <n v="3368"/>
    <x v="136"/>
    <x v="2"/>
    <d v="2024-07-12T00:00:00"/>
    <x v="0"/>
    <x v="2"/>
    <x v="1"/>
    <s v="No"/>
    <x v="1"/>
    <s v="Yes"/>
    <n v="20"/>
    <n v="10"/>
    <n v="20"/>
  </r>
  <r>
    <n v="3369"/>
    <x v="137"/>
    <x v="1"/>
    <d v="2024-07-13T00:00:00"/>
    <x v="1"/>
    <x v="1"/>
    <x v="2"/>
    <s v="No"/>
    <x v="1"/>
    <s v="No"/>
    <n v="0"/>
    <n v="1"/>
    <n v="4"/>
  </r>
  <r>
    <n v="3370"/>
    <x v="138"/>
    <x v="0"/>
    <d v="2024-07-14T00:00:00"/>
    <x v="0"/>
    <x v="0"/>
    <x v="0"/>
    <s v="Yes"/>
    <x v="0"/>
    <s v="Yes"/>
    <n v="20"/>
    <n v="15"/>
    <n v="50"/>
  </r>
  <r>
    <n v="3371"/>
    <x v="139"/>
    <x v="2"/>
    <d v="2024-07-15T00:00:00"/>
    <x v="1"/>
    <x v="2"/>
    <x v="0"/>
    <s v="No"/>
    <x v="1"/>
    <s v="Yes"/>
    <n v="20"/>
    <n v="5"/>
    <n v="25"/>
  </r>
  <r>
    <n v="3372"/>
    <x v="140"/>
    <x v="1"/>
    <d v="2024-07-16T00:00:00"/>
    <x v="0"/>
    <x v="1"/>
    <x v="1"/>
    <s v="No"/>
    <x v="1"/>
    <s v="No"/>
    <n v="0"/>
    <n v="0"/>
    <n v="5"/>
  </r>
  <r>
    <n v="3373"/>
    <x v="141"/>
    <x v="0"/>
    <d v="2024-07-17T00:00:00"/>
    <x v="1"/>
    <x v="0"/>
    <x v="2"/>
    <s v="Yes"/>
    <x v="0"/>
    <s v="Yes"/>
    <n v="20"/>
    <n v="20"/>
    <n v="45"/>
  </r>
  <r>
    <n v="3374"/>
    <x v="142"/>
    <x v="2"/>
    <d v="2024-07-18T00:00:00"/>
    <x v="0"/>
    <x v="2"/>
    <x v="2"/>
    <s v="No"/>
    <x v="1"/>
    <s v="Yes"/>
    <n v="20"/>
    <n v="12"/>
    <n v="18"/>
  </r>
  <r>
    <n v="3375"/>
    <x v="143"/>
    <x v="1"/>
    <d v="2024-07-19T00:00:00"/>
    <x v="1"/>
    <x v="1"/>
    <x v="0"/>
    <s v="No"/>
    <x v="1"/>
    <s v="No"/>
    <n v="0"/>
    <n v="2"/>
    <n v="3"/>
  </r>
  <r>
    <n v="3376"/>
    <x v="144"/>
    <x v="0"/>
    <d v="2024-07-20T00:00:00"/>
    <x v="0"/>
    <x v="0"/>
    <x v="1"/>
    <s v="Yes"/>
    <x v="0"/>
    <s v="Yes"/>
    <n v="20"/>
    <n v="5"/>
    <n v="60"/>
  </r>
  <r>
    <n v="3377"/>
    <x v="145"/>
    <x v="2"/>
    <d v="2024-07-21T00:00:00"/>
    <x v="1"/>
    <x v="2"/>
    <x v="0"/>
    <s v="No"/>
    <x v="1"/>
    <s v="Yes"/>
    <n v="20"/>
    <n v="10"/>
    <n v="20"/>
  </r>
  <r>
    <n v="3378"/>
    <x v="146"/>
    <x v="1"/>
    <d v="2024-07-22T00:00:00"/>
    <x v="0"/>
    <x v="1"/>
    <x v="2"/>
    <s v="No"/>
    <x v="1"/>
    <s v="No"/>
    <n v="0"/>
    <n v="0"/>
    <n v="5"/>
  </r>
  <r>
    <n v="3379"/>
    <x v="147"/>
    <x v="0"/>
    <d v="2024-07-23T00:00:00"/>
    <x v="1"/>
    <x v="0"/>
    <x v="0"/>
    <s v="Yes"/>
    <x v="0"/>
    <s v="Yes"/>
    <n v="20"/>
    <n v="3"/>
    <n v="62"/>
  </r>
  <r>
    <n v="3380"/>
    <x v="148"/>
    <x v="2"/>
    <d v="2024-07-24T00:00:00"/>
    <x v="0"/>
    <x v="2"/>
    <x v="1"/>
    <s v="No"/>
    <x v="1"/>
    <s v="Yes"/>
    <n v="20"/>
    <n v="15"/>
    <n v="15"/>
  </r>
  <r>
    <n v="3381"/>
    <x v="149"/>
    <x v="1"/>
    <d v="2024-07-25T00:00:00"/>
    <x v="1"/>
    <x v="1"/>
    <x v="0"/>
    <s v="No"/>
    <x v="1"/>
    <s v="No"/>
    <n v="0"/>
    <n v="1"/>
    <n v="4"/>
  </r>
  <r>
    <n v="3382"/>
    <x v="150"/>
    <x v="0"/>
    <d v="2024-07-26T00:00:00"/>
    <x v="0"/>
    <x v="0"/>
    <x v="2"/>
    <s v="Yes"/>
    <x v="0"/>
    <s v="Yes"/>
    <n v="20"/>
    <n v="7"/>
    <n v="58"/>
  </r>
  <r>
    <n v="3383"/>
    <x v="151"/>
    <x v="2"/>
    <d v="2024-07-27T00:00:00"/>
    <x v="1"/>
    <x v="2"/>
    <x v="0"/>
    <s v="No"/>
    <x v="1"/>
    <s v="Yes"/>
    <n v="20"/>
    <n v="10"/>
    <n v="20"/>
  </r>
  <r>
    <n v="3384"/>
    <x v="152"/>
    <x v="1"/>
    <d v="2024-07-28T00:00:00"/>
    <x v="0"/>
    <x v="1"/>
    <x v="1"/>
    <s v="No"/>
    <x v="1"/>
    <s v="No"/>
    <n v="0"/>
    <n v="0"/>
    <n v="5"/>
  </r>
  <r>
    <n v="3385"/>
    <x v="153"/>
    <x v="0"/>
    <d v="2024-07-29T00:00:00"/>
    <x v="1"/>
    <x v="0"/>
    <x v="0"/>
    <s v="Yes"/>
    <x v="0"/>
    <s v="Yes"/>
    <n v="20"/>
    <n v="20"/>
    <n v="45"/>
  </r>
  <r>
    <n v="3386"/>
    <x v="154"/>
    <x v="2"/>
    <d v="2024-07-30T00:00:00"/>
    <x v="0"/>
    <x v="2"/>
    <x v="2"/>
    <s v="No"/>
    <x v="1"/>
    <s v="Yes"/>
    <n v="20"/>
    <n v="15"/>
    <n v="15"/>
  </r>
  <r>
    <n v="3387"/>
    <x v="155"/>
    <x v="1"/>
    <d v="2024-07-31T00:00:00"/>
    <x v="1"/>
    <x v="1"/>
    <x v="0"/>
    <s v="No"/>
    <x v="1"/>
    <s v="No"/>
    <n v="0"/>
    <n v="1"/>
    <n v="4"/>
  </r>
  <r>
    <n v="3388"/>
    <x v="156"/>
    <x v="0"/>
    <d v="2024-08-01T00:00:00"/>
    <x v="0"/>
    <x v="0"/>
    <x v="1"/>
    <s v="Yes"/>
    <x v="0"/>
    <s v="Yes"/>
    <n v="20"/>
    <n v="3"/>
    <n v="62"/>
  </r>
  <r>
    <n v="3389"/>
    <x v="157"/>
    <x v="2"/>
    <d v="2024-08-02T00:00:00"/>
    <x v="1"/>
    <x v="2"/>
    <x v="0"/>
    <s v="No"/>
    <x v="1"/>
    <s v="Yes"/>
    <n v="20"/>
    <n v="10"/>
    <n v="20"/>
  </r>
  <r>
    <n v="3390"/>
    <x v="158"/>
    <x v="1"/>
    <d v="2024-08-03T00:00:00"/>
    <x v="0"/>
    <x v="1"/>
    <x v="2"/>
    <s v="No"/>
    <x v="1"/>
    <s v="No"/>
    <n v="0"/>
    <n v="0"/>
    <n v="5"/>
  </r>
  <r>
    <n v="3391"/>
    <x v="58"/>
    <x v="0"/>
    <d v="2024-08-04T00:00:00"/>
    <x v="1"/>
    <x v="0"/>
    <x v="0"/>
    <s v="Yes"/>
    <x v="0"/>
    <s v="Yes"/>
    <n v="20"/>
    <n v="15"/>
    <n v="50"/>
  </r>
  <r>
    <n v="3392"/>
    <x v="159"/>
    <x v="2"/>
    <d v="2024-08-05T00:00:00"/>
    <x v="0"/>
    <x v="2"/>
    <x v="1"/>
    <s v="No"/>
    <x v="1"/>
    <s v="Yes"/>
    <n v="20"/>
    <n v="15"/>
    <n v="15"/>
  </r>
  <r>
    <n v="3393"/>
    <x v="160"/>
    <x v="1"/>
    <d v="2024-08-06T00:00:00"/>
    <x v="1"/>
    <x v="1"/>
    <x v="0"/>
    <s v="No"/>
    <x v="1"/>
    <s v="No"/>
    <n v="0"/>
    <n v="1"/>
    <n v="4"/>
  </r>
  <r>
    <n v="3394"/>
    <x v="161"/>
    <x v="0"/>
    <d v="2024-08-07T00:00:00"/>
    <x v="0"/>
    <x v="0"/>
    <x v="2"/>
    <s v="Yes"/>
    <x v="0"/>
    <s v="Yes"/>
    <n v="20"/>
    <n v="7"/>
    <n v="58"/>
  </r>
  <r>
    <n v="3395"/>
    <x v="162"/>
    <x v="2"/>
    <d v="2024-08-08T00:00:00"/>
    <x v="1"/>
    <x v="2"/>
    <x v="0"/>
    <s v="No"/>
    <x v="1"/>
    <s v="Yes"/>
    <n v="20"/>
    <n v="10"/>
    <n v="20"/>
  </r>
  <r>
    <n v="3396"/>
    <x v="163"/>
    <x v="1"/>
    <d v="2024-08-09T00:00:00"/>
    <x v="0"/>
    <x v="1"/>
    <x v="1"/>
    <s v="No"/>
    <x v="1"/>
    <s v="No"/>
    <n v="0"/>
    <n v="0"/>
    <n v="5"/>
  </r>
  <r>
    <n v="3397"/>
    <x v="90"/>
    <x v="0"/>
    <d v="2024-08-10T00:00:00"/>
    <x v="1"/>
    <x v="0"/>
    <x v="0"/>
    <s v="Yes"/>
    <x v="0"/>
    <s v="Yes"/>
    <n v="20"/>
    <n v="20"/>
    <n v="45"/>
  </r>
  <r>
    <n v="3398"/>
    <x v="164"/>
    <x v="2"/>
    <d v="2024-08-11T00:00:00"/>
    <x v="0"/>
    <x v="2"/>
    <x v="2"/>
    <s v="No"/>
    <x v="1"/>
    <s v="Yes"/>
    <n v="20"/>
    <n v="15"/>
    <n v="15"/>
  </r>
  <r>
    <n v="3399"/>
    <x v="165"/>
    <x v="1"/>
    <d v="2024-08-12T00:00:00"/>
    <x v="1"/>
    <x v="1"/>
    <x v="0"/>
    <s v="No"/>
    <x v="1"/>
    <s v="No"/>
    <n v="0"/>
    <n v="1"/>
    <n v="4"/>
  </r>
  <r>
    <n v="3400"/>
    <x v="166"/>
    <x v="0"/>
    <d v="2024-08-13T00:00:00"/>
    <x v="0"/>
    <x v="0"/>
    <x v="1"/>
    <s v="Yes"/>
    <x v="0"/>
    <s v="Yes"/>
    <n v="20"/>
    <n v="5"/>
    <n v="60"/>
  </r>
  <r>
    <n v="3401"/>
    <x v="167"/>
    <x v="2"/>
    <d v="2024-08-14T00:00:00"/>
    <x v="1"/>
    <x v="2"/>
    <x v="0"/>
    <s v="No"/>
    <x v="1"/>
    <s v="Yes"/>
    <n v="20"/>
    <n v="10"/>
    <n v="20"/>
  </r>
  <r>
    <n v="3402"/>
    <x v="168"/>
    <x v="1"/>
    <d v="2024-08-15T00:00:00"/>
    <x v="0"/>
    <x v="1"/>
    <x v="2"/>
    <s v="No"/>
    <x v="1"/>
    <s v="No"/>
    <n v="0"/>
    <n v="0"/>
    <n v="5"/>
  </r>
  <r>
    <n v="3403"/>
    <x v="169"/>
    <x v="0"/>
    <d v="2024-08-16T00:00:00"/>
    <x v="1"/>
    <x v="0"/>
    <x v="0"/>
    <s v="Yes"/>
    <x v="0"/>
    <s v="Yes"/>
    <n v="20"/>
    <n v="3"/>
    <n v="62"/>
  </r>
  <r>
    <n v="3404"/>
    <x v="170"/>
    <x v="2"/>
    <d v="2024-08-17T00:00:00"/>
    <x v="0"/>
    <x v="2"/>
    <x v="1"/>
    <s v="No"/>
    <x v="1"/>
    <s v="Yes"/>
    <n v="20"/>
    <n v="15"/>
    <n v="15"/>
  </r>
  <r>
    <n v="3405"/>
    <x v="171"/>
    <x v="1"/>
    <d v="2024-08-18T00:00:00"/>
    <x v="1"/>
    <x v="1"/>
    <x v="0"/>
    <s v="No"/>
    <x v="1"/>
    <s v="No"/>
    <n v="0"/>
    <n v="1"/>
    <n v="4"/>
  </r>
  <r>
    <n v="3406"/>
    <x v="172"/>
    <x v="1"/>
    <d v="2024-08-19T00:00:00"/>
    <x v="0"/>
    <x v="1"/>
    <x v="0"/>
    <s v="No"/>
    <x v="1"/>
    <s v="No"/>
    <n v="0"/>
    <n v="0"/>
    <n v="5"/>
  </r>
  <r>
    <n v="3407"/>
    <x v="173"/>
    <x v="0"/>
    <d v="2024-08-20T00:00:00"/>
    <x v="1"/>
    <x v="0"/>
    <x v="2"/>
    <s v="Yes"/>
    <x v="0"/>
    <s v="Yes"/>
    <n v="20"/>
    <n v="7"/>
    <n v="58"/>
  </r>
  <r>
    <n v="3408"/>
    <x v="174"/>
    <x v="2"/>
    <d v="2024-08-21T00:00:00"/>
    <x v="0"/>
    <x v="2"/>
    <x v="1"/>
    <s v="No"/>
    <x v="1"/>
    <s v="Yes"/>
    <n v="20"/>
    <n v="10"/>
    <n v="20"/>
  </r>
  <r>
    <n v="3409"/>
    <x v="175"/>
    <x v="1"/>
    <d v="2024-08-22T00:00:00"/>
    <x v="1"/>
    <x v="1"/>
    <x v="2"/>
    <s v="No"/>
    <x v="1"/>
    <s v="No"/>
    <n v="0"/>
    <n v="1"/>
    <n v="4"/>
  </r>
  <r>
    <n v="3410"/>
    <x v="176"/>
    <x v="0"/>
    <d v="2024-08-23T00:00:00"/>
    <x v="0"/>
    <x v="0"/>
    <x v="0"/>
    <s v="Yes"/>
    <x v="0"/>
    <s v="Yes"/>
    <n v="20"/>
    <n v="15"/>
    <n v="50"/>
  </r>
  <r>
    <n v="3411"/>
    <x v="177"/>
    <x v="2"/>
    <d v="2024-08-24T00:00:00"/>
    <x v="1"/>
    <x v="2"/>
    <x v="0"/>
    <s v="No"/>
    <x v="1"/>
    <s v="Yes"/>
    <n v="20"/>
    <n v="5"/>
    <n v="25"/>
  </r>
  <r>
    <n v="3412"/>
    <x v="178"/>
    <x v="1"/>
    <d v="2024-08-25T00:00:00"/>
    <x v="0"/>
    <x v="1"/>
    <x v="1"/>
    <s v="No"/>
    <x v="1"/>
    <s v="No"/>
    <n v="0"/>
    <n v="0"/>
    <n v="5"/>
  </r>
  <r>
    <n v="3413"/>
    <x v="179"/>
    <x v="0"/>
    <d v="2024-08-26T00:00:00"/>
    <x v="1"/>
    <x v="0"/>
    <x v="2"/>
    <s v="Yes"/>
    <x v="0"/>
    <s v="Yes"/>
    <n v="20"/>
    <n v="20"/>
    <n v="45"/>
  </r>
  <r>
    <n v="3414"/>
    <x v="180"/>
    <x v="2"/>
    <d v="2024-08-27T00:00:00"/>
    <x v="0"/>
    <x v="2"/>
    <x v="2"/>
    <s v="No"/>
    <x v="1"/>
    <s v="Yes"/>
    <n v="20"/>
    <n v="12"/>
    <n v="18"/>
  </r>
  <r>
    <n v="3415"/>
    <x v="181"/>
    <x v="1"/>
    <d v="2024-08-28T00:00:00"/>
    <x v="1"/>
    <x v="1"/>
    <x v="0"/>
    <s v="No"/>
    <x v="1"/>
    <s v="No"/>
    <n v="0"/>
    <n v="2"/>
    <n v="3"/>
  </r>
  <r>
    <n v="3416"/>
    <x v="182"/>
    <x v="0"/>
    <d v="2024-08-29T00:00:00"/>
    <x v="0"/>
    <x v="0"/>
    <x v="1"/>
    <s v="Yes"/>
    <x v="0"/>
    <s v="Yes"/>
    <n v="20"/>
    <n v="5"/>
    <n v="60"/>
  </r>
  <r>
    <n v="3417"/>
    <x v="183"/>
    <x v="2"/>
    <d v="2024-08-30T00:00:00"/>
    <x v="1"/>
    <x v="2"/>
    <x v="0"/>
    <s v="No"/>
    <x v="1"/>
    <s v="Yes"/>
    <n v="20"/>
    <n v="10"/>
    <n v="20"/>
  </r>
  <r>
    <n v="3418"/>
    <x v="184"/>
    <x v="1"/>
    <d v="2024-08-31T00:00:00"/>
    <x v="0"/>
    <x v="1"/>
    <x v="2"/>
    <s v="No"/>
    <x v="1"/>
    <s v="No"/>
    <n v="0"/>
    <n v="0"/>
    <n v="5"/>
  </r>
  <r>
    <n v="3419"/>
    <x v="185"/>
    <x v="0"/>
    <d v="2024-09-01T00:00:00"/>
    <x v="1"/>
    <x v="0"/>
    <x v="0"/>
    <s v="Yes"/>
    <x v="0"/>
    <s v="Yes"/>
    <n v="20"/>
    <n v="3"/>
    <n v="62"/>
  </r>
  <r>
    <n v="3420"/>
    <x v="186"/>
    <x v="2"/>
    <d v="2024-09-02T00:00:00"/>
    <x v="0"/>
    <x v="2"/>
    <x v="1"/>
    <s v="No"/>
    <x v="1"/>
    <s v="Yes"/>
    <n v="20"/>
    <n v="15"/>
    <n v="15"/>
  </r>
  <r>
    <n v="3421"/>
    <x v="15"/>
    <x v="1"/>
    <d v="2024-09-03T00:00:00"/>
    <x v="1"/>
    <x v="1"/>
    <x v="0"/>
    <s v="No"/>
    <x v="1"/>
    <s v="No"/>
    <n v="0"/>
    <n v="1"/>
    <n v="4"/>
  </r>
  <r>
    <n v="3422"/>
    <x v="187"/>
    <x v="0"/>
    <d v="2024-09-04T00:00:00"/>
    <x v="0"/>
    <x v="0"/>
    <x v="2"/>
    <s v="Yes"/>
    <x v="0"/>
    <s v="Yes"/>
    <n v="20"/>
    <n v="7"/>
    <n v="58"/>
  </r>
  <r>
    <n v="3423"/>
    <x v="188"/>
    <x v="2"/>
    <d v="2024-09-05T00:00:00"/>
    <x v="1"/>
    <x v="2"/>
    <x v="0"/>
    <s v="No"/>
    <x v="1"/>
    <s v="Yes"/>
    <n v="20"/>
    <n v="10"/>
    <n v="20"/>
  </r>
  <r>
    <n v="3424"/>
    <x v="14"/>
    <x v="1"/>
    <d v="2024-09-06T00:00:00"/>
    <x v="0"/>
    <x v="1"/>
    <x v="1"/>
    <s v="No"/>
    <x v="1"/>
    <s v="No"/>
    <n v="0"/>
    <n v="0"/>
    <n v="5"/>
  </r>
  <r>
    <n v="3425"/>
    <x v="189"/>
    <x v="0"/>
    <d v="2024-09-07T00:00:00"/>
    <x v="1"/>
    <x v="0"/>
    <x v="0"/>
    <s v="Yes"/>
    <x v="0"/>
    <s v="Yes"/>
    <n v="20"/>
    <n v="20"/>
    <n v="45"/>
  </r>
  <r>
    <n v="3426"/>
    <x v="167"/>
    <x v="2"/>
    <d v="2024-09-08T00:00:00"/>
    <x v="0"/>
    <x v="2"/>
    <x v="2"/>
    <s v="No"/>
    <x v="1"/>
    <s v="Yes"/>
    <n v="20"/>
    <n v="15"/>
    <n v="15"/>
  </r>
  <r>
    <n v="3427"/>
    <x v="190"/>
    <x v="1"/>
    <d v="2024-09-09T00:00:00"/>
    <x v="1"/>
    <x v="1"/>
    <x v="0"/>
    <s v="No"/>
    <x v="1"/>
    <s v="No"/>
    <n v="0"/>
    <n v="1"/>
    <n v="4"/>
  </r>
  <r>
    <n v="3428"/>
    <x v="191"/>
    <x v="0"/>
    <d v="2024-09-10T00:00:00"/>
    <x v="0"/>
    <x v="0"/>
    <x v="1"/>
    <s v="Yes"/>
    <x v="0"/>
    <s v="Yes"/>
    <n v="20"/>
    <n v="3"/>
    <n v="62"/>
  </r>
  <r>
    <n v="3429"/>
    <x v="192"/>
    <x v="2"/>
    <d v="2024-09-11T00:00:00"/>
    <x v="1"/>
    <x v="2"/>
    <x v="0"/>
    <s v="No"/>
    <x v="1"/>
    <s v="Yes"/>
    <n v="20"/>
    <n v="10"/>
    <n v="20"/>
  </r>
  <r>
    <n v="3430"/>
    <x v="193"/>
    <x v="1"/>
    <d v="2024-09-12T00:00:00"/>
    <x v="0"/>
    <x v="1"/>
    <x v="2"/>
    <s v="No"/>
    <x v="1"/>
    <s v="No"/>
    <n v="0"/>
    <n v="0"/>
    <n v="5"/>
  </r>
  <r>
    <n v="3431"/>
    <x v="194"/>
    <x v="0"/>
    <d v="2024-09-13T00:00:00"/>
    <x v="1"/>
    <x v="0"/>
    <x v="0"/>
    <s v="Yes"/>
    <x v="0"/>
    <s v="Yes"/>
    <n v="20"/>
    <n v="15"/>
    <n v="50"/>
  </r>
  <r>
    <n v="3432"/>
    <x v="195"/>
    <x v="2"/>
    <d v="2024-09-14T00:00:00"/>
    <x v="0"/>
    <x v="2"/>
    <x v="1"/>
    <s v="No"/>
    <x v="1"/>
    <s v="Yes"/>
    <n v="20"/>
    <n v="15"/>
    <n v="15"/>
  </r>
  <r>
    <n v="3433"/>
    <x v="196"/>
    <x v="1"/>
    <d v="2024-09-15T00:00:00"/>
    <x v="1"/>
    <x v="1"/>
    <x v="0"/>
    <s v="No"/>
    <x v="1"/>
    <s v="No"/>
    <n v="0"/>
    <n v="1"/>
    <n v="4"/>
  </r>
  <r>
    <n v="3434"/>
    <x v="197"/>
    <x v="0"/>
    <d v="2024-09-16T00:00:00"/>
    <x v="0"/>
    <x v="0"/>
    <x v="2"/>
    <s v="Yes"/>
    <x v="0"/>
    <s v="Yes"/>
    <n v="20"/>
    <n v="7"/>
    <n v="58"/>
  </r>
  <r>
    <n v="3435"/>
    <x v="198"/>
    <x v="2"/>
    <d v="2024-09-17T00:00:00"/>
    <x v="1"/>
    <x v="2"/>
    <x v="0"/>
    <s v="No"/>
    <x v="1"/>
    <s v="Yes"/>
    <n v="20"/>
    <n v="10"/>
    <n v="20"/>
  </r>
  <r>
    <n v="3436"/>
    <x v="199"/>
    <x v="1"/>
    <d v="2024-09-18T00:00:00"/>
    <x v="0"/>
    <x v="1"/>
    <x v="0"/>
    <s v="No"/>
    <x v="1"/>
    <s v="No"/>
    <n v="0"/>
    <n v="0"/>
    <n v="5"/>
  </r>
  <r>
    <n v="3437"/>
    <x v="200"/>
    <x v="0"/>
    <d v="2024-09-19T00:00:00"/>
    <x v="1"/>
    <x v="0"/>
    <x v="2"/>
    <s v="Yes"/>
    <x v="0"/>
    <s v="Yes"/>
    <n v="20"/>
    <n v="7"/>
    <n v="58"/>
  </r>
  <r>
    <n v="3438"/>
    <x v="201"/>
    <x v="2"/>
    <d v="2024-09-20T00:00:00"/>
    <x v="0"/>
    <x v="2"/>
    <x v="1"/>
    <s v="No"/>
    <x v="1"/>
    <s v="Yes"/>
    <n v="20"/>
    <n v="10"/>
    <n v="20"/>
  </r>
  <r>
    <n v="3439"/>
    <x v="202"/>
    <x v="1"/>
    <d v="2024-09-21T00:00:00"/>
    <x v="1"/>
    <x v="1"/>
    <x v="2"/>
    <s v="No"/>
    <x v="1"/>
    <s v="No"/>
    <n v="0"/>
    <n v="1"/>
    <n v="4"/>
  </r>
  <r>
    <n v="3440"/>
    <x v="203"/>
    <x v="0"/>
    <d v="2024-09-22T00:00:00"/>
    <x v="0"/>
    <x v="0"/>
    <x v="0"/>
    <s v="Yes"/>
    <x v="0"/>
    <s v="Yes"/>
    <n v="20"/>
    <n v="15"/>
    <n v="50"/>
  </r>
  <r>
    <n v="3441"/>
    <x v="204"/>
    <x v="2"/>
    <d v="2024-09-23T00:00:00"/>
    <x v="1"/>
    <x v="2"/>
    <x v="0"/>
    <s v="No"/>
    <x v="1"/>
    <s v="Yes"/>
    <n v="20"/>
    <n v="5"/>
    <n v="25"/>
  </r>
  <r>
    <n v="3442"/>
    <x v="205"/>
    <x v="1"/>
    <d v="2024-09-24T00:00:00"/>
    <x v="0"/>
    <x v="1"/>
    <x v="1"/>
    <s v="No"/>
    <x v="1"/>
    <s v="No"/>
    <n v="0"/>
    <n v="0"/>
    <n v="5"/>
  </r>
  <r>
    <n v="3443"/>
    <x v="206"/>
    <x v="0"/>
    <d v="2024-09-25T00:00:00"/>
    <x v="1"/>
    <x v="0"/>
    <x v="2"/>
    <s v="Yes"/>
    <x v="0"/>
    <s v="Yes"/>
    <n v="20"/>
    <n v="20"/>
    <n v="45"/>
  </r>
  <r>
    <n v="3444"/>
    <x v="207"/>
    <x v="2"/>
    <d v="2024-09-26T00:00:00"/>
    <x v="0"/>
    <x v="2"/>
    <x v="2"/>
    <s v="No"/>
    <x v="1"/>
    <s v="Yes"/>
    <n v="20"/>
    <n v="12"/>
    <n v="18"/>
  </r>
  <r>
    <n v="3445"/>
    <x v="37"/>
    <x v="1"/>
    <d v="2024-09-27T00:00:00"/>
    <x v="1"/>
    <x v="1"/>
    <x v="0"/>
    <s v="No"/>
    <x v="1"/>
    <s v="No"/>
    <n v="0"/>
    <n v="2"/>
    <n v="3"/>
  </r>
  <r>
    <n v="3446"/>
    <x v="208"/>
    <x v="0"/>
    <d v="2024-09-28T00:00:00"/>
    <x v="0"/>
    <x v="0"/>
    <x v="1"/>
    <s v="Yes"/>
    <x v="0"/>
    <s v="Yes"/>
    <n v="20"/>
    <n v="5"/>
    <n v="60"/>
  </r>
  <r>
    <n v="3447"/>
    <x v="209"/>
    <x v="2"/>
    <d v="2024-09-29T00:00:00"/>
    <x v="1"/>
    <x v="2"/>
    <x v="0"/>
    <s v="No"/>
    <x v="1"/>
    <s v="Yes"/>
    <n v="20"/>
    <n v="10"/>
    <n v="20"/>
  </r>
  <r>
    <n v="3448"/>
    <x v="210"/>
    <x v="1"/>
    <d v="2024-09-30T00:00:00"/>
    <x v="0"/>
    <x v="1"/>
    <x v="2"/>
    <s v="No"/>
    <x v="1"/>
    <s v="No"/>
    <n v="0"/>
    <n v="0"/>
    <n v="5"/>
  </r>
  <r>
    <n v="3449"/>
    <x v="211"/>
    <x v="0"/>
    <d v="2024-10-01T00:00:00"/>
    <x v="1"/>
    <x v="0"/>
    <x v="0"/>
    <s v="Yes"/>
    <x v="0"/>
    <s v="Yes"/>
    <n v="20"/>
    <n v="3"/>
    <n v="62"/>
  </r>
  <r>
    <n v="3450"/>
    <x v="212"/>
    <x v="2"/>
    <d v="2024-10-02T00:00:00"/>
    <x v="0"/>
    <x v="2"/>
    <x v="1"/>
    <s v="No"/>
    <x v="1"/>
    <s v="Yes"/>
    <n v="20"/>
    <n v="15"/>
    <n v="15"/>
  </r>
  <r>
    <n v="3451"/>
    <x v="213"/>
    <x v="1"/>
    <d v="2024-10-03T00:00:00"/>
    <x v="1"/>
    <x v="1"/>
    <x v="0"/>
    <s v="No"/>
    <x v="1"/>
    <s v="No"/>
    <n v="0"/>
    <n v="1"/>
    <n v="4"/>
  </r>
  <r>
    <n v="3452"/>
    <x v="191"/>
    <x v="0"/>
    <d v="2024-10-04T00:00:00"/>
    <x v="0"/>
    <x v="0"/>
    <x v="2"/>
    <s v="Yes"/>
    <x v="0"/>
    <s v="Yes"/>
    <n v="20"/>
    <n v="7"/>
    <n v="58"/>
  </r>
  <r>
    <n v="3453"/>
    <x v="45"/>
    <x v="2"/>
    <d v="2024-10-05T00:00:00"/>
    <x v="1"/>
    <x v="2"/>
    <x v="0"/>
    <s v="No"/>
    <x v="1"/>
    <s v="Yes"/>
    <n v="20"/>
    <n v="10"/>
    <n v="20"/>
  </r>
  <r>
    <n v="3454"/>
    <x v="214"/>
    <x v="1"/>
    <d v="2024-10-06T00:00:00"/>
    <x v="0"/>
    <x v="1"/>
    <x v="1"/>
    <s v="No"/>
    <x v="1"/>
    <s v="No"/>
    <n v="0"/>
    <n v="0"/>
    <n v="5"/>
  </r>
  <r>
    <n v="3455"/>
    <x v="215"/>
    <x v="0"/>
    <d v="2024-10-07T00:00:00"/>
    <x v="1"/>
    <x v="0"/>
    <x v="0"/>
    <s v="Yes"/>
    <x v="0"/>
    <s v="Yes"/>
    <n v="20"/>
    <n v="20"/>
    <n v="45"/>
  </r>
  <r>
    <n v="3456"/>
    <x v="216"/>
    <x v="2"/>
    <d v="2024-10-08T00:00:00"/>
    <x v="0"/>
    <x v="2"/>
    <x v="2"/>
    <s v="No"/>
    <x v="1"/>
    <s v="Yes"/>
    <n v="20"/>
    <n v="15"/>
    <n v="15"/>
  </r>
  <r>
    <n v="3457"/>
    <x v="217"/>
    <x v="1"/>
    <d v="2024-10-09T00:00:00"/>
    <x v="1"/>
    <x v="1"/>
    <x v="0"/>
    <s v="No"/>
    <x v="1"/>
    <s v="No"/>
    <n v="0"/>
    <n v="1"/>
    <n v="4"/>
  </r>
  <r>
    <n v="3458"/>
    <x v="218"/>
    <x v="0"/>
    <d v="2024-10-10T00:00:00"/>
    <x v="0"/>
    <x v="0"/>
    <x v="1"/>
    <s v="Yes"/>
    <x v="0"/>
    <s v="Yes"/>
    <n v="20"/>
    <n v="3"/>
    <n v="62"/>
  </r>
  <r>
    <n v="3459"/>
    <x v="219"/>
    <x v="2"/>
    <d v="2024-10-11T00:00:00"/>
    <x v="1"/>
    <x v="2"/>
    <x v="0"/>
    <s v="No"/>
    <x v="1"/>
    <s v="Yes"/>
    <n v="20"/>
    <n v="10"/>
    <n v="20"/>
  </r>
  <r>
    <n v="3460"/>
    <x v="127"/>
    <x v="1"/>
    <d v="2024-10-12T00:00:00"/>
    <x v="0"/>
    <x v="1"/>
    <x v="2"/>
    <s v="No"/>
    <x v="1"/>
    <s v="No"/>
    <n v="0"/>
    <n v="0"/>
    <n v="5"/>
  </r>
  <r>
    <n v="3461"/>
    <x v="220"/>
    <x v="0"/>
    <d v="2024-10-13T00:00:00"/>
    <x v="1"/>
    <x v="0"/>
    <x v="0"/>
    <s v="Yes"/>
    <x v="0"/>
    <s v="Yes"/>
    <n v="20"/>
    <n v="15"/>
    <n v="50"/>
  </r>
  <r>
    <n v="3462"/>
    <x v="221"/>
    <x v="2"/>
    <d v="2024-10-14T00:00:00"/>
    <x v="0"/>
    <x v="2"/>
    <x v="1"/>
    <s v="No"/>
    <x v="1"/>
    <s v="Yes"/>
    <n v="20"/>
    <n v="15"/>
    <n v="15"/>
  </r>
  <r>
    <n v="3463"/>
    <x v="222"/>
    <x v="1"/>
    <d v="2024-10-15T00:00:00"/>
    <x v="1"/>
    <x v="1"/>
    <x v="0"/>
    <s v="No"/>
    <x v="1"/>
    <s v="No"/>
    <n v="0"/>
    <n v="1"/>
    <n v="4"/>
  </r>
  <r>
    <n v="3464"/>
    <x v="223"/>
    <x v="0"/>
    <d v="2024-10-16T00:00:00"/>
    <x v="0"/>
    <x v="0"/>
    <x v="2"/>
    <s v="Yes"/>
    <x v="0"/>
    <s v="Yes"/>
    <n v="20"/>
    <n v="7"/>
    <n v="58"/>
  </r>
  <r>
    <n v="3465"/>
    <x v="224"/>
    <x v="2"/>
    <d v="2024-10-17T00:00:00"/>
    <x v="1"/>
    <x v="2"/>
    <x v="0"/>
    <s v="No"/>
    <x v="1"/>
    <s v="Yes"/>
    <n v="20"/>
    <n v="10"/>
    <n v="20"/>
  </r>
  <r>
    <n v="3466"/>
    <x v="225"/>
    <x v="1"/>
    <d v="2024-10-18T00:00:00"/>
    <x v="0"/>
    <x v="1"/>
    <x v="1"/>
    <s v="No"/>
    <x v="1"/>
    <s v="No"/>
    <n v="0"/>
    <n v="0"/>
    <n v="5"/>
  </r>
  <r>
    <n v="3467"/>
    <x v="226"/>
    <x v="0"/>
    <d v="2024-10-19T00:00:00"/>
    <x v="1"/>
    <x v="0"/>
    <x v="0"/>
    <s v="Yes"/>
    <x v="0"/>
    <s v="Yes"/>
    <n v="20"/>
    <n v="15"/>
    <n v="50"/>
  </r>
  <r>
    <n v="3468"/>
    <x v="227"/>
    <x v="2"/>
    <d v="2024-10-20T00:00:00"/>
    <x v="0"/>
    <x v="2"/>
    <x v="2"/>
    <s v="No"/>
    <x v="1"/>
    <s v="Yes"/>
    <n v="20"/>
    <n v="12"/>
    <n v="18"/>
  </r>
  <r>
    <n v="3469"/>
    <x v="228"/>
    <x v="1"/>
    <d v="2024-10-21T00:00:00"/>
    <x v="1"/>
    <x v="1"/>
    <x v="0"/>
    <s v="No"/>
    <x v="1"/>
    <s v="No"/>
    <n v="0"/>
    <n v="2"/>
    <n v="3"/>
  </r>
  <r>
    <n v="3470"/>
    <x v="229"/>
    <x v="0"/>
    <d v="2024-10-22T00:00:00"/>
    <x v="0"/>
    <x v="0"/>
    <x v="1"/>
    <s v="Yes"/>
    <x v="0"/>
    <s v="Yes"/>
    <n v="20"/>
    <n v="5"/>
    <n v="60"/>
  </r>
  <r>
    <n v="3471"/>
    <x v="230"/>
    <x v="2"/>
    <d v="2024-10-23T00:00:00"/>
    <x v="1"/>
    <x v="2"/>
    <x v="0"/>
    <s v="No"/>
    <x v="1"/>
    <s v="Yes"/>
    <n v="20"/>
    <n v="10"/>
    <n v="20"/>
  </r>
  <r>
    <n v="3472"/>
    <x v="231"/>
    <x v="1"/>
    <d v="2024-10-24T00:00:00"/>
    <x v="0"/>
    <x v="1"/>
    <x v="2"/>
    <s v="No"/>
    <x v="1"/>
    <s v="No"/>
    <n v="0"/>
    <n v="0"/>
    <n v="5"/>
  </r>
  <r>
    <n v="3473"/>
    <x v="140"/>
    <x v="0"/>
    <d v="2024-10-25T00:00:00"/>
    <x v="1"/>
    <x v="0"/>
    <x v="0"/>
    <s v="Yes"/>
    <x v="0"/>
    <s v="Yes"/>
    <n v="20"/>
    <n v="3"/>
    <n v="62"/>
  </r>
  <r>
    <n v="3474"/>
    <x v="232"/>
    <x v="2"/>
    <d v="2024-10-26T00:00:00"/>
    <x v="0"/>
    <x v="2"/>
    <x v="1"/>
    <s v="No"/>
    <x v="1"/>
    <s v="Yes"/>
    <n v="20"/>
    <n v="15"/>
    <n v="15"/>
  </r>
  <r>
    <n v="3475"/>
    <x v="233"/>
    <x v="1"/>
    <d v="2024-10-27T00:00:00"/>
    <x v="1"/>
    <x v="1"/>
    <x v="0"/>
    <s v="No"/>
    <x v="1"/>
    <s v="No"/>
    <n v="0"/>
    <n v="1"/>
    <n v="4"/>
  </r>
  <r>
    <n v="3476"/>
    <x v="234"/>
    <x v="0"/>
    <d v="2024-10-28T00:00:00"/>
    <x v="0"/>
    <x v="0"/>
    <x v="2"/>
    <s v="Yes"/>
    <x v="0"/>
    <s v="Yes"/>
    <n v="20"/>
    <n v="7"/>
    <n v="58"/>
  </r>
  <r>
    <n v="3477"/>
    <x v="235"/>
    <x v="2"/>
    <d v="2024-10-29T00:00:00"/>
    <x v="1"/>
    <x v="2"/>
    <x v="0"/>
    <s v="No"/>
    <x v="1"/>
    <s v="Yes"/>
    <n v="20"/>
    <n v="10"/>
    <n v="20"/>
  </r>
  <r>
    <n v="3478"/>
    <x v="236"/>
    <x v="1"/>
    <d v="2024-10-30T00:00:00"/>
    <x v="0"/>
    <x v="1"/>
    <x v="1"/>
    <s v="No"/>
    <x v="1"/>
    <s v="No"/>
    <n v="0"/>
    <n v="0"/>
    <n v="5"/>
  </r>
  <r>
    <n v="3479"/>
    <x v="237"/>
    <x v="0"/>
    <d v="2024-10-31T00:00:00"/>
    <x v="1"/>
    <x v="0"/>
    <x v="0"/>
    <s v="Yes"/>
    <x v="0"/>
    <s v="Yes"/>
    <n v="20"/>
    <n v="20"/>
    <n v="45"/>
  </r>
  <r>
    <n v="3480"/>
    <x v="238"/>
    <x v="2"/>
    <d v="2024-11-01T00:00:00"/>
    <x v="0"/>
    <x v="2"/>
    <x v="2"/>
    <s v="No"/>
    <x v="1"/>
    <s v="Yes"/>
    <n v="20"/>
    <n v="15"/>
    <n v="15"/>
  </r>
  <r>
    <n v="3481"/>
    <x v="239"/>
    <x v="1"/>
    <d v="2024-11-02T00:00:00"/>
    <x v="1"/>
    <x v="1"/>
    <x v="0"/>
    <s v="No"/>
    <x v="1"/>
    <s v="No"/>
    <n v="0"/>
    <n v="1"/>
    <n v="4"/>
  </r>
  <r>
    <n v="3482"/>
    <x v="240"/>
    <x v="0"/>
    <d v="2024-11-03T00:00:00"/>
    <x v="0"/>
    <x v="0"/>
    <x v="1"/>
    <s v="Yes"/>
    <x v="0"/>
    <s v="Yes"/>
    <n v="20"/>
    <n v="3"/>
    <n v="62"/>
  </r>
  <r>
    <n v="3483"/>
    <x v="241"/>
    <x v="2"/>
    <d v="2024-11-04T00:00:00"/>
    <x v="1"/>
    <x v="2"/>
    <x v="0"/>
    <s v="No"/>
    <x v="1"/>
    <s v="Yes"/>
    <n v="20"/>
    <n v="10"/>
    <n v="20"/>
  </r>
  <r>
    <n v="3484"/>
    <x v="242"/>
    <x v="1"/>
    <d v="2024-11-05T00:00:00"/>
    <x v="0"/>
    <x v="1"/>
    <x v="2"/>
    <s v="No"/>
    <x v="1"/>
    <s v="No"/>
    <n v="0"/>
    <n v="0"/>
    <n v="5"/>
  </r>
  <r>
    <n v="3485"/>
    <x v="243"/>
    <x v="0"/>
    <d v="2024-11-06T00:00:00"/>
    <x v="1"/>
    <x v="0"/>
    <x v="0"/>
    <s v="Yes"/>
    <x v="0"/>
    <s v="Yes"/>
    <n v="20"/>
    <n v="15"/>
    <n v="50"/>
  </r>
  <r>
    <n v="3486"/>
    <x v="244"/>
    <x v="1"/>
    <d v="2024-11-07T00:00:00"/>
    <x v="0"/>
    <x v="1"/>
    <x v="0"/>
    <s v="No"/>
    <x v="1"/>
    <s v="No"/>
    <n v="0"/>
    <n v="0"/>
    <n v="5"/>
  </r>
  <r>
    <n v="3487"/>
    <x v="245"/>
    <x v="0"/>
    <d v="2024-11-08T00:00:00"/>
    <x v="1"/>
    <x v="0"/>
    <x v="2"/>
    <s v="Yes"/>
    <x v="0"/>
    <s v="Yes"/>
    <n v="20"/>
    <n v="7"/>
    <n v="58"/>
  </r>
  <r>
    <n v="3488"/>
    <x v="246"/>
    <x v="2"/>
    <d v="2024-11-09T00:00:00"/>
    <x v="0"/>
    <x v="2"/>
    <x v="1"/>
    <s v="No"/>
    <x v="1"/>
    <s v="Yes"/>
    <n v="20"/>
    <n v="10"/>
    <n v="20"/>
  </r>
  <r>
    <n v="3489"/>
    <x v="247"/>
    <x v="1"/>
    <d v="2024-11-10T00:00:00"/>
    <x v="1"/>
    <x v="1"/>
    <x v="2"/>
    <s v="No"/>
    <x v="1"/>
    <s v="No"/>
    <n v="0"/>
    <n v="1"/>
    <n v="4"/>
  </r>
  <r>
    <n v="3490"/>
    <x v="248"/>
    <x v="0"/>
    <d v="2024-11-11T00:00:00"/>
    <x v="0"/>
    <x v="0"/>
    <x v="0"/>
    <s v="Yes"/>
    <x v="0"/>
    <s v="Yes"/>
    <n v="20"/>
    <n v="15"/>
    <n v="50"/>
  </r>
  <r>
    <n v="3491"/>
    <x v="249"/>
    <x v="2"/>
    <d v="2024-11-12T00:00:00"/>
    <x v="1"/>
    <x v="2"/>
    <x v="0"/>
    <s v="No"/>
    <x v="1"/>
    <s v="Yes"/>
    <n v="20"/>
    <n v="5"/>
    <n v="25"/>
  </r>
  <r>
    <n v="3492"/>
    <x v="250"/>
    <x v="1"/>
    <d v="2024-11-13T00:00:00"/>
    <x v="0"/>
    <x v="1"/>
    <x v="1"/>
    <s v="No"/>
    <x v="1"/>
    <s v="No"/>
    <n v="0"/>
    <n v="0"/>
    <n v="5"/>
  </r>
  <r>
    <n v="3493"/>
    <x v="251"/>
    <x v="0"/>
    <d v="2024-11-14T00:00:00"/>
    <x v="1"/>
    <x v="0"/>
    <x v="2"/>
    <s v="Yes"/>
    <x v="0"/>
    <s v="Yes"/>
    <n v="20"/>
    <n v="20"/>
    <n v="45"/>
  </r>
  <r>
    <n v="3494"/>
    <x v="252"/>
    <x v="2"/>
    <d v="2024-11-15T00:00:00"/>
    <x v="0"/>
    <x v="2"/>
    <x v="2"/>
    <s v="No"/>
    <x v="1"/>
    <s v="Yes"/>
    <n v="20"/>
    <n v="12"/>
    <n v="18"/>
  </r>
  <r>
    <n v="3495"/>
    <x v="253"/>
    <x v="1"/>
    <d v="2024-11-16T00:00:00"/>
    <x v="1"/>
    <x v="1"/>
    <x v="0"/>
    <s v="No"/>
    <x v="1"/>
    <s v="No"/>
    <n v="0"/>
    <n v="2"/>
    <n v="3"/>
  </r>
  <r>
    <n v="3496"/>
    <x v="254"/>
    <x v="0"/>
    <d v="2024-11-17T00:00:00"/>
    <x v="0"/>
    <x v="0"/>
    <x v="1"/>
    <s v="Yes"/>
    <x v="0"/>
    <s v="Yes"/>
    <n v="20"/>
    <n v="5"/>
    <n v="60"/>
  </r>
  <r>
    <n v="3497"/>
    <x v="255"/>
    <x v="2"/>
    <d v="2024-11-18T00:00:00"/>
    <x v="1"/>
    <x v="2"/>
    <x v="0"/>
    <s v="No"/>
    <x v="1"/>
    <s v="Yes"/>
    <n v="20"/>
    <n v="10"/>
    <n v="20"/>
  </r>
  <r>
    <n v="3498"/>
    <x v="256"/>
    <x v="1"/>
    <d v="2024-11-19T00:00:00"/>
    <x v="0"/>
    <x v="1"/>
    <x v="2"/>
    <s v="No"/>
    <x v="1"/>
    <s v="No"/>
    <n v="0"/>
    <n v="0"/>
    <n v="5"/>
  </r>
  <r>
    <n v="3499"/>
    <x v="257"/>
    <x v="0"/>
    <d v="2024-11-20T00:00:00"/>
    <x v="1"/>
    <x v="0"/>
    <x v="0"/>
    <s v="Yes"/>
    <x v="0"/>
    <s v="Yes"/>
    <n v="20"/>
    <n v="3"/>
    <n v="62"/>
  </r>
  <r>
    <n v="3500"/>
    <x v="258"/>
    <x v="2"/>
    <d v="2024-11-21T00:00:00"/>
    <x v="0"/>
    <x v="2"/>
    <x v="1"/>
    <s v="No"/>
    <x v="1"/>
    <s v="Yes"/>
    <n v="20"/>
    <n v="15"/>
    <n v="15"/>
  </r>
  <r>
    <n v="3501"/>
    <x v="259"/>
    <x v="1"/>
    <d v="2024-11-22T00:00:00"/>
    <x v="1"/>
    <x v="1"/>
    <x v="0"/>
    <s v="No"/>
    <x v="1"/>
    <s v="No"/>
    <n v="0"/>
    <n v="1"/>
    <n v="4"/>
  </r>
  <r>
    <n v="3502"/>
    <x v="260"/>
    <x v="0"/>
    <d v="2024-11-23T00:00:00"/>
    <x v="0"/>
    <x v="0"/>
    <x v="2"/>
    <s v="Yes"/>
    <x v="0"/>
    <s v="Yes"/>
    <n v="20"/>
    <n v="7"/>
    <n v="58"/>
  </r>
  <r>
    <n v="3503"/>
    <x v="119"/>
    <x v="2"/>
    <d v="2024-11-24T00:00:00"/>
    <x v="1"/>
    <x v="2"/>
    <x v="0"/>
    <s v="No"/>
    <x v="1"/>
    <s v="Yes"/>
    <n v="20"/>
    <n v="10"/>
    <n v="20"/>
  </r>
  <r>
    <n v="3504"/>
    <x v="261"/>
    <x v="1"/>
    <d v="2024-11-25T00:00:00"/>
    <x v="0"/>
    <x v="1"/>
    <x v="1"/>
    <s v="No"/>
    <x v="1"/>
    <s v="No"/>
    <n v="0"/>
    <n v="0"/>
    <n v="5"/>
  </r>
  <r>
    <n v="3505"/>
    <x v="262"/>
    <x v="0"/>
    <d v="2024-11-26T00:00:00"/>
    <x v="1"/>
    <x v="0"/>
    <x v="0"/>
    <s v="Yes"/>
    <x v="0"/>
    <s v="Yes"/>
    <n v="20"/>
    <n v="20"/>
    <n v="45"/>
  </r>
  <r>
    <n v="3506"/>
    <x v="263"/>
    <x v="2"/>
    <d v="2024-11-27T00:00:00"/>
    <x v="0"/>
    <x v="2"/>
    <x v="2"/>
    <s v="No"/>
    <x v="1"/>
    <s v="Yes"/>
    <n v="20"/>
    <n v="15"/>
    <n v="15"/>
  </r>
  <r>
    <n v="3507"/>
    <x v="264"/>
    <x v="1"/>
    <d v="2024-11-28T00:00:00"/>
    <x v="1"/>
    <x v="1"/>
    <x v="0"/>
    <s v="No"/>
    <x v="1"/>
    <s v="No"/>
    <n v="0"/>
    <n v="1"/>
    <n v="4"/>
  </r>
  <r>
    <n v="3508"/>
    <x v="265"/>
    <x v="0"/>
    <d v="2024-11-29T00:00:00"/>
    <x v="0"/>
    <x v="0"/>
    <x v="1"/>
    <s v="Yes"/>
    <x v="0"/>
    <s v="Yes"/>
    <n v="20"/>
    <n v="3"/>
    <n v="62"/>
  </r>
  <r>
    <n v="3509"/>
    <x v="266"/>
    <x v="2"/>
    <d v="2024-11-30T00:00:00"/>
    <x v="1"/>
    <x v="2"/>
    <x v="0"/>
    <s v="No"/>
    <x v="1"/>
    <s v="Yes"/>
    <n v="20"/>
    <n v="10"/>
    <n v="20"/>
  </r>
  <r>
    <n v="3510"/>
    <x v="267"/>
    <x v="1"/>
    <d v="2024-12-01T00:00:00"/>
    <x v="0"/>
    <x v="1"/>
    <x v="2"/>
    <s v="No"/>
    <x v="1"/>
    <s v="No"/>
    <n v="0"/>
    <n v="0"/>
    <n v="5"/>
  </r>
  <r>
    <n v="3511"/>
    <x v="268"/>
    <x v="0"/>
    <d v="2024-12-02T00:00:00"/>
    <x v="1"/>
    <x v="0"/>
    <x v="0"/>
    <s v="Yes"/>
    <x v="0"/>
    <s v="Yes"/>
    <n v="20"/>
    <n v="15"/>
    <n v="50"/>
  </r>
  <r>
    <n v="3512"/>
    <x v="269"/>
    <x v="2"/>
    <d v="2024-12-03T00:00:00"/>
    <x v="0"/>
    <x v="2"/>
    <x v="1"/>
    <s v="No"/>
    <x v="1"/>
    <s v="Yes"/>
    <n v="20"/>
    <n v="15"/>
    <n v="15"/>
  </r>
  <r>
    <n v="3513"/>
    <x v="270"/>
    <x v="1"/>
    <d v="2024-12-04T00:00:00"/>
    <x v="1"/>
    <x v="1"/>
    <x v="0"/>
    <s v="No"/>
    <x v="1"/>
    <s v="No"/>
    <n v="0"/>
    <n v="1"/>
    <n v="4"/>
  </r>
  <r>
    <n v="3514"/>
    <x v="271"/>
    <x v="0"/>
    <d v="2024-12-05T00:00:00"/>
    <x v="0"/>
    <x v="0"/>
    <x v="2"/>
    <s v="Yes"/>
    <x v="0"/>
    <s v="Yes"/>
    <n v="20"/>
    <n v="7"/>
    <n v="58"/>
  </r>
  <r>
    <n v="3515"/>
    <x v="130"/>
    <x v="2"/>
    <d v="2024-12-06T00:00:00"/>
    <x v="1"/>
    <x v="2"/>
    <x v="0"/>
    <s v="No"/>
    <x v="1"/>
    <s v="Yes"/>
    <n v="20"/>
    <n v="10"/>
    <n v="20"/>
  </r>
  <r>
    <n v="3516"/>
    <x v="131"/>
    <x v="1"/>
    <d v="2024-12-07T00:00:00"/>
    <x v="0"/>
    <x v="1"/>
    <x v="1"/>
    <s v="No"/>
    <x v="1"/>
    <s v="No"/>
    <n v="0"/>
    <n v="0"/>
    <n v="5"/>
  </r>
  <r>
    <n v="3517"/>
    <x v="181"/>
    <x v="0"/>
    <d v="2024-12-08T00:00:00"/>
    <x v="1"/>
    <x v="0"/>
    <x v="0"/>
    <s v="Yes"/>
    <x v="0"/>
    <s v="Yes"/>
    <n v="20"/>
    <n v="20"/>
    <n v="45"/>
  </r>
  <r>
    <n v="3518"/>
    <x v="272"/>
    <x v="2"/>
    <d v="2024-12-09T00:00:00"/>
    <x v="0"/>
    <x v="2"/>
    <x v="2"/>
    <s v="No"/>
    <x v="1"/>
    <s v="Yes"/>
    <n v="20"/>
    <n v="12"/>
    <n v="18"/>
  </r>
  <r>
    <n v="3519"/>
    <x v="273"/>
    <x v="1"/>
    <d v="2024-12-10T00:00:00"/>
    <x v="1"/>
    <x v="1"/>
    <x v="0"/>
    <s v="No"/>
    <x v="1"/>
    <s v="No"/>
    <n v="0"/>
    <n v="2"/>
    <n v="3"/>
  </r>
  <r>
    <n v="3520"/>
    <x v="274"/>
    <x v="0"/>
    <d v="2024-12-11T00:00:00"/>
    <x v="0"/>
    <x v="0"/>
    <x v="1"/>
    <s v="Yes"/>
    <x v="0"/>
    <s v="Yes"/>
    <n v="20"/>
    <n v="5"/>
    <n v="60"/>
  </r>
  <r>
    <n v="3521"/>
    <x v="275"/>
    <x v="2"/>
    <d v="2024-12-12T00:00:00"/>
    <x v="1"/>
    <x v="2"/>
    <x v="0"/>
    <s v="No"/>
    <x v="1"/>
    <s v="Yes"/>
    <n v="20"/>
    <n v="10"/>
    <n v="20"/>
  </r>
  <r>
    <n v="3522"/>
    <x v="276"/>
    <x v="1"/>
    <d v="2024-12-13T00:00:00"/>
    <x v="0"/>
    <x v="1"/>
    <x v="2"/>
    <s v="No"/>
    <x v="1"/>
    <s v="No"/>
    <n v="0"/>
    <n v="0"/>
    <n v="5"/>
  </r>
  <r>
    <n v="3523"/>
    <x v="277"/>
    <x v="0"/>
    <d v="2024-12-14T00:00:00"/>
    <x v="1"/>
    <x v="0"/>
    <x v="0"/>
    <s v="Yes"/>
    <x v="0"/>
    <s v="Yes"/>
    <n v="20"/>
    <n v="3"/>
    <n v="62"/>
  </r>
  <r>
    <n v="3524"/>
    <x v="278"/>
    <x v="2"/>
    <d v="2024-12-15T00:00:00"/>
    <x v="0"/>
    <x v="2"/>
    <x v="1"/>
    <s v="No"/>
    <x v="1"/>
    <s v="Yes"/>
    <n v="20"/>
    <n v="15"/>
    <n v="15"/>
  </r>
  <r>
    <n v="3525"/>
    <x v="279"/>
    <x v="1"/>
    <d v="2024-12-16T00:00:00"/>
    <x v="1"/>
    <x v="1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B29:C33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bl_easeasonpass_total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B20:C24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4">
  <location ref="B11:C14" firstHeaderRow="1" firstDataRow="1" firstDataCol="1" rowPageCount="1" colPageCount="1"/>
  <pivotFields count="13">
    <pivotField showAll="0"/>
    <pivotField name="Tbl_anual_total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formats count="1">
    <format dxfId="0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abela dinâmica1"/>
    <pivotTable tabId="3" name="Tbl_easeasonpass_total"/>
    <pivotTable tabId="3" name="Tabela dinâmica3"/>
  </pivotTables>
  <data>
    <tabular pivotCacheId="1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 1" cache="SegmentaçãodeDados_Subscription_Type" caption="Subscription Type" style="SlicerStyleLight3 2" rowHeight="234950"/>
</slicers>
</file>

<file path=xl/tables/table1.xml><?xml version="1.0" encoding="utf-8"?>
<table xmlns="http://schemas.openxmlformats.org/spreadsheetml/2006/main" id="1" name="Tabela1" displayName="Tabela1" ref="A1:M296" totalsRowShown="0" dataDxfId="14">
  <autoFilter ref="A1:M296">
    <filterColumn colId="7">
      <filters>
        <filter val="Yes"/>
      </filters>
    </filterColumn>
  </autoFilter>
  <tableColumns count="13">
    <tableColumn id="1" name="Subscriber ID" dataDxfId="13"/>
    <tableColumn id="2" name="Name" dataDxfId="12"/>
    <tableColumn id="3" name="Plan" dataDxfId="11"/>
    <tableColumn id="4" name="Start Date" dataDxfId="10"/>
    <tableColumn id="5" name="Auto Renewal" dataDxfId="9"/>
    <tableColumn id="6" name="Subscription Price" dataDxfId="8" dataCellStyle="Moeda"/>
    <tableColumn id="7" name="Subscription Type" dataDxfId="7"/>
    <tableColumn id="8" name="EA Play Season Pass" dataDxfId="6"/>
    <tableColumn id="13" name="EA Play Season Pass_x000a_Price" dataDxfId="5" dataCellStyle="Moeda"/>
    <tableColumn id="9" name="Minecraft Season Pass" dataDxfId="4"/>
    <tableColumn id="10" name="Minecraft Season Pass Price" dataDxfId="3" dataCellStyle="Moeda"/>
    <tableColumn id="11" name="Coupon Value" dataDxfId="2" dataCellStyle="Moeda"/>
    <tableColumn id="12" name="Total Value" dataDxfId="1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zoomScaleNormal="100" workbookViewId="0">
      <selection activeCell="B7" sqref="B7"/>
    </sheetView>
  </sheetViews>
  <sheetFormatPr defaultRowHeight="13.8"/>
  <cols>
    <col min="9" max="9" width="3.59765625" customWidth="1"/>
  </cols>
  <sheetData>
    <row r="3" spans="2:16" ht="19.8" thickBot="1">
      <c r="B3" s="1" t="s">
        <v>0</v>
      </c>
      <c r="C3" s="1"/>
      <c r="D3" s="1"/>
      <c r="E3" s="1"/>
      <c r="F3" s="1"/>
      <c r="G3" s="1"/>
      <c r="H3" s="1"/>
    </row>
    <row r="4" spans="2:16" ht="14.4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19.8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4.4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topLeftCell="A2" zoomScale="90" zoomScaleNormal="90" workbookViewId="0">
      <selection activeCell="B7" sqref="B7"/>
    </sheetView>
  </sheetViews>
  <sheetFormatPr defaultRowHeight="13.8"/>
  <cols>
    <col min="1" max="1" width="17.8984375" bestFit="1" customWidth="1"/>
    <col min="2" max="2" width="18.8984375" bestFit="1" customWidth="1"/>
    <col min="3" max="3" width="9.3984375" bestFit="1" customWidth="1"/>
    <col min="4" max="4" width="14.59765625" bestFit="1" customWidth="1"/>
    <col min="5" max="5" width="18" bestFit="1" customWidth="1"/>
    <col min="6" max="6" width="14.69921875" bestFit="1" customWidth="1"/>
    <col min="7" max="7" width="22" bestFit="1" customWidth="1"/>
    <col min="8" max="8" width="20.59765625" bestFit="1" customWidth="1"/>
    <col min="9" max="9" width="20.59765625" customWidth="1"/>
    <col min="10" max="10" width="16.69921875" bestFit="1" customWidth="1"/>
    <col min="11" max="11" width="21.296875" bestFit="1" customWidth="1"/>
    <col min="12" max="12" width="12.69921875" bestFit="1" customWidth="1"/>
    <col min="13" max="13" width="10.59765625" bestFit="1" customWidth="1"/>
  </cols>
  <sheetData>
    <row r="1" spans="1:13" ht="27.6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4:E33"/>
  <sheetViews>
    <sheetView showGridLines="0" workbookViewId="0">
      <selection activeCell="B7" sqref="B7"/>
    </sheetView>
  </sheetViews>
  <sheetFormatPr defaultRowHeight="13.8"/>
  <cols>
    <col min="2" max="2" width="17.69921875" customWidth="1"/>
    <col min="3" max="3" width="34.5" customWidth="1"/>
    <col min="4" max="4" width="5.3984375" customWidth="1"/>
    <col min="5" max="5" width="10.69921875" bestFit="1" customWidth="1"/>
    <col min="6" max="6" width="19.09765625" bestFit="1" customWidth="1"/>
    <col min="7" max="7" width="27.69921875" bestFit="1" customWidth="1"/>
    <col min="8" max="8" width="5.3984375" customWidth="1"/>
    <col min="9" max="9" width="21.09765625" bestFit="1" customWidth="1"/>
    <col min="10" max="11" width="35.09765625" bestFit="1" customWidth="1"/>
    <col min="12" max="15" width="9.69921875" bestFit="1" customWidth="1"/>
    <col min="16" max="16" width="15.59765625" bestFit="1" customWidth="1"/>
    <col min="17" max="17" width="12.09765625" bestFit="1" customWidth="1"/>
  </cols>
  <sheetData>
    <row r="4" spans="1:3">
      <c r="B4" t="s">
        <v>313</v>
      </c>
      <c r="C4" t="s">
        <v>314</v>
      </c>
    </row>
    <row r="5" spans="1:3">
      <c r="B5" t="s">
        <v>318</v>
      </c>
      <c r="C5" t="s">
        <v>319</v>
      </c>
    </row>
    <row r="6" spans="1:3">
      <c r="B6" t="s">
        <v>321</v>
      </c>
      <c r="C6" t="s">
        <v>322</v>
      </c>
    </row>
    <row r="7" spans="1:3">
      <c r="B7" t="s">
        <v>325</v>
      </c>
      <c r="C7" t="s">
        <v>326</v>
      </c>
    </row>
    <row r="9" spans="1:3">
      <c r="B9" s="12" t="s">
        <v>16</v>
      </c>
      <c r="C9" t="s">
        <v>24</v>
      </c>
    </row>
    <row r="11" spans="1:3">
      <c r="A11" s="19" t="s">
        <v>324</v>
      </c>
      <c r="B11" s="12" t="s">
        <v>315</v>
      </c>
      <c r="C11" t="s">
        <v>317</v>
      </c>
    </row>
    <row r="12" spans="1:3">
      <c r="B12" s="13" t="s">
        <v>23</v>
      </c>
      <c r="C12" s="14">
        <v>217</v>
      </c>
    </row>
    <row r="13" spans="1:3">
      <c r="B13" s="13" t="s">
        <v>19</v>
      </c>
      <c r="C13" s="14">
        <v>1537</v>
      </c>
    </row>
    <row r="14" spans="1:3">
      <c r="B14" s="13" t="s">
        <v>316</v>
      </c>
      <c r="C14" s="14">
        <v>1754</v>
      </c>
    </row>
    <row r="18" spans="1:5">
      <c r="B18" s="12" t="s">
        <v>16</v>
      </c>
      <c r="C18" t="s">
        <v>24</v>
      </c>
    </row>
    <row r="20" spans="1:5">
      <c r="A20" s="19">
        <v>3</v>
      </c>
      <c r="B20" s="12" t="s">
        <v>315</v>
      </c>
      <c r="C20" t="s">
        <v>323</v>
      </c>
    </row>
    <row r="21" spans="1:5">
      <c r="B21" s="13" t="s">
        <v>22</v>
      </c>
      <c r="C21" s="17">
        <v>0</v>
      </c>
    </row>
    <row r="22" spans="1:5">
      <c r="B22" s="13" t="s">
        <v>26</v>
      </c>
      <c r="C22" s="17">
        <v>0</v>
      </c>
    </row>
    <row r="23" spans="1:5">
      <c r="B23" s="13" t="s">
        <v>18</v>
      </c>
      <c r="C23" s="17">
        <v>600</v>
      </c>
    </row>
    <row r="24" spans="1:5">
      <c r="B24" s="13" t="s">
        <v>316</v>
      </c>
      <c r="C24" s="17">
        <v>600</v>
      </c>
      <c r="E24" s="18">
        <f>GETPIVOTDATA("EA Play Season Pass
Price",$B$20)</f>
        <v>600</v>
      </c>
    </row>
    <row r="27" spans="1:5">
      <c r="A27" s="19">
        <v>4</v>
      </c>
      <c r="B27" s="12" t="s">
        <v>16</v>
      </c>
      <c r="C27" t="s">
        <v>24</v>
      </c>
    </row>
    <row r="29" spans="1:5">
      <c r="B29" s="12" t="s">
        <v>315</v>
      </c>
      <c r="C29" t="s">
        <v>327</v>
      </c>
    </row>
    <row r="30" spans="1:5">
      <c r="B30" s="13" t="s">
        <v>22</v>
      </c>
      <c r="C30" s="17">
        <v>0</v>
      </c>
    </row>
    <row r="31" spans="1:5">
      <c r="B31" s="13" t="s">
        <v>26</v>
      </c>
      <c r="C31" s="17">
        <v>540</v>
      </c>
    </row>
    <row r="32" spans="1:5">
      <c r="B32" s="13" t="s">
        <v>18</v>
      </c>
      <c r="C32" s="17">
        <v>400</v>
      </c>
    </row>
    <row r="33" spans="2:5">
      <c r="B33" s="13" t="s">
        <v>316</v>
      </c>
      <c r="C33" s="17">
        <v>940</v>
      </c>
      <c r="E33" s="18">
        <f>GETPIVOTDATA("Minecraft Season Pass Price",$B$29)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0"/>
  <sheetViews>
    <sheetView showGridLines="0" tabSelected="1" zoomScale="85" zoomScaleNormal="85" workbookViewId="0">
      <selection activeCell="G47" sqref="G47"/>
    </sheetView>
  </sheetViews>
  <sheetFormatPr defaultRowHeight="13.8"/>
  <cols>
    <col min="1" max="1" width="24" style="5" customWidth="1"/>
    <col min="2" max="2" width="3.59765625" customWidth="1"/>
    <col min="12" max="12" width="6.59765625" customWidth="1"/>
    <col min="17" max="17" width="12" customWidth="1"/>
  </cols>
  <sheetData>
    <row r="1" spans="2:42"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</row>
    <row r="2" spans="2:42" ht="39" customHeight="1" thickBot="1">
      <c r="B2" s="20" t="s">
        <v>320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</row>
    <row r="3" spans="2:42" ht="8.25" customHeight="1" thickTop="1"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</row>
    <row r="4" spans="2:42" ht="7.5" customHeight="1"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</row>
    <row r="5" spans="2:42" ht="10.5" customHeight="1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</row>
    <row r="6" spans="2:42" ht="9.75" customHeight="1"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</row>
    <row r="7" spans="2:42" ht="33" customHeight="1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</row>
    <row r="8" spans="2:42"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</row>
    <row r="9" spans="2:42"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</row>
    <row r="10" spans="2:42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</row>
    <row r="11" spans="2:42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</row>
    <row r="12" spans="2:42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</row>
    <row r="13" spans="2:42"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</row>
    <row r="14" spans="2:42"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</row>
    <row r="15" spans="2:42"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</row>
    <row r="16" spans="2:42"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</row>
    <row r="17" spans="2:42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</row>
    <row r="18" spans="2:42"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</row>
    <row r="19" spans="2:42"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</row>
    <row r="20" spans="2:42"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</row>
    <row r="21" spans="2:42"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</row>
    <row r="22" spans="2:42"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</row>
    <row r="23" spans="2:42"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</row>
    <row r="24" spans="2:42"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</row>
    <row r="25" spans="2:42"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</row>
    <row r="26" spans="2:42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</row>
    <row r="27" spans="2:42"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</row>
    <row r="28" spans="2:42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</row>
    <row r="29" spans="2:42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</row>
    <row r="30" spans="2:42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</row>
    <row r="31" spans="2:42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</row>
    <row r="32" spans="2:42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</row>
    <row r="33" spans="2:42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</row>
    <row r="34" spans="2:42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</row>
    <row r="35" spans="2:42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2:42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2:42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2:42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2:42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2:42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1" spans="2:42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</row>
    <row r="42" spans="2:42"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</row>
    <row r="43" spans="2:42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</row>
    <row r="44" spans="2:42"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</row>
    <row r="45" spans="2:42"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</row>
    <row r="46" spans="2:42"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</row>
    <row r="47" spans="2:42"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</row>
    <row r="48" spans="2:42"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</row>
    <row r="49" spans="2:42"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</row>
    <row r="50" spans="2:42"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</row>
  </sheetData>
  <mergeCells count="1">
    <mergeCell ref="B2:Q2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João Lucas Menezes Borges</cp:lastModifiedBy>
  <dcterms:created xsi:type="dcterms:W3CDTF">2024-12-19T13:13:10Z</dcterms:created>
  <dcterms:modified xsi:type="dcterms:W3CDTF">2026-09-29T23:21:20Z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